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4750" windowHeight="11630" activeTab="2"/>
  </bookViews>
  <sheets>
    <sheet name="Sheet1 (3)" sheetId="6" r:id="rId1"/>
    <sheet name="Sheet1 (2)" sheetId="5" r:id="rId2"/>
    <sheet name="合并1" sheetId="4" r:id="rId3"/>
    <sheet name="数据报表 (2)" sheetId="7" r:id="rId4"/>
    <sheet name="数据报表" sheetId="1" r:id="rId5"/>
  </sheets>
  <definedNames>
    <definedName name="切片器_客户名称1">#N/A</definedName>
    <definedName name="切片器_订单日期1">#N/A</definedName>
    <definedName name="切片器_客户等级">#N/A</definedName>
    <definedName name="切片器_地区">#N/A</definedName>
    <definedName name="_xlchart.v1.0" hidden="1">合并1!$N$45</definedName>
    <definedName name="_xlchart.v1.1" hidden="1">合并1!$N$45</definedName>
    <definedName name="_xlcn.WorksheetConnection_合并1AJ1" hidden="1">合并1!$A:$J</definedName>
    <definedName name="ExternalData_1" localSheetId="2" hidden="1">合并1!$A$1:$J$305</definedName>
    <definedName name="地区" localSheetId="2">合并1!$F:$F</definedName>
    <definedName name="地区">合并1!$F$2:$F$1048576</definedName>
  </definedNames>
  <calcPr calcId="19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WorksheetConnection_合并1!$A:$J" type="5" refreshedVersion="2" saveData="1">
    <dbPr connection="" command="" commandType="2"/>
  </connection>
  <connection id="2" name="查询 - Sheet1" description="与工作簿中“Sheet1”查询的连接。" type="5" background="1" refreshedVersion="2" saveData="1">
    <dbPr connection="Provider=Microsoft.Mashup.OleDb.1;Data Source=$Workbook$;Location=Sheet1;Extended Properties=&quot;&quot;" command="SELECT * FROM [Sheet1]" commandType="2"/>
  </connection>
  <connection id="3" name="查询 - Sheet1 (2)" description="与工作簿中“Sheet1 (2)”查询的连接。" type="5" background="1" refreshedVersion="2" saveData="1">
    <dbPr connection="Provider=Microsoft.Mashup.OleDb.1;Data Source=$Workbook$;Location=&quot;Sheet1 (2)&quot;;Extended Properties=&quot;&quot;" command="SELECT * FROM [Sheet1 (2)]" commandType="2"/>
  </connection>
  <connection id="4" name="查询 - 合并1" description="与工作簿中“合并1”查询的连接。" type="5" background="1" refreshedVersion="2" saveData="1">
    <dbPr connection="Provider=Microsoft.Mashup.OleDb.1;Data Source=$Workbook$;Location=合并1;Extended Properties=&quot;&quot;" command="SELECT * FROM [合并1]" commandType="2"/>
  </connection>
</connections>
</file>

<file path=xl/sharedStrings.xml><?xml version="1.0" encoding="utf-8"?>
<sst xmlns="http://schemas.openxmlformats.org/spreadsheetml/2006/main" count="4656" uniqueCount="377">
  <si>
    <t>Column1</t>
  </si>
  <si>
    <t>Column2</t>
  </si>
  <si>
    <t>Column3</t>
  </si>
  <si>
    <t>Column4</t>
  </si>
  <si>
    <t>产品ID</t>
  </si>
  <si>
    <t>客户ID</t>
  </si>
  <si>
    <t>客户名称</t>
  </si>
  <si>
    <t>客户等级</t>
  </si>
  <si>
    <t>P1001</t>
  </si>
  <si>
    <t>C0001</t>
  </si>
  <si>
    <t>北京通达科技</t>
  </si>
  <si>
    <t>VIP</t>
  </si>
  <si>
    <t>C0002</t>
  </si>
  <si>
    <t>上海鑫源贸易</t>
  </si>
  <si>
    <t>普通</t>
  </si>
  <si>
    <t>P1002</t>
  </si>
  <si>
    <t>C0003</t>
  </si>
  <si>
    <t>广州盛达电子</t>
  </si>
  <si>
    <t>P1003</t>
  </si>
  <si>
    <t>C0004</t>
  </si>
  <si>
    <t>成都宏图数码</t>
  </si>
  <si>
    <t>C0005</t>
  </si>
  <si>
    <t>武汉联创科技</t>
  </si>
  <si>
    <t>P1004</t>
  </si>
  <si>
    <t>C0006</t>
  </si>
  <si>
    <t>西安丝路电子</t>
  </si>
  <si>
    <t>C0007</t>
  </si>
  <si>
    <t>杭州浙东商贸</t>
  </si>
  <si>
    <t>P1005</t>
  </si>
  <si>
    <t>C0008</t>
  </si>
  <si>
    <t>深圳前海科技</t>
  </si>
  <si>
    <t>C0009</t>
  </si>
  <si>
    <t>天津北方实业</t>
  </si>
  <si>
    <t>C0010</t>
  </si>
  <si>
    <t>重庆两江商贸</t>
  </si>
  <si>
    <t>C0013</t>
  </si>
  <si>
    <t>杭州浙东商贸1111</t>
  </si>
  <si>
    <t>P1012</t>
  </si>
  <si>
    <t>订单号</t>
  </si>
  <si>
    <t>地区</t>
  </si>
  <si>
    <t>订单金额</t>
  </si>
  <si>
    <t>订单日期</t>
  </si>
  <si>
    <t>OD202500001</t>
  </si>
  <si>
    <t>华北</t>
  </si>
  <si>
    <t>OD202500002</t>
  </si>
  <si>
    <t>华东</t>
  </si>
  <si>
    <t>OD202500003</t>
  </si>
  <si>
    <t>OD202500004</t>
  </si>
  <si>
    <t>华南</t>
  </si>
  <si>
    <t>OD202500005</t>
  </si>
  <si>
    <t>西南</t>
  </si>
  <si>
    <t>OD202500006</t>
  </si>
  <si>
    <t>华中</t>
  </si>
  <si>
    <t>OD202500007</t>
  </si>
  <si>
    <t>OD202500008</t>
  </si>
  <si>
    <t>西北</t>
  </si>
  <si>
    <t>OD202500009</t>
  </si>
  <si>
    <t>OD202500010</t>
  </si>
  <si>
    <t>OD202500011</t>
  </si>
  <si>
    <t>OD202500012</t>
  </si>
  <si>
    <t>OD202500013</t>
  </si>
  <si>
    <t>OD202500014</t>
  </si>
  <si>
    <t>OD202500015</t>
  </si>
  <si>
    <t>OD202500016</t>
  </si>
  <si>
    <t>OD202500017</t>
  </si>
  <si>
    <t>OD202500018</t>
  </si>
  <si>
    <t>OD202500019</t>
  </si>
  <si>
    <t>OD202500020</t>
  </si>
  <si>
    <t>OD202500021</t>
  </si>
  <si>
    <t>OD202500022</t>
  </si>
  <si>
    <t>OD202500023</t>
  </si>
  <si>
    <t>OD202500024</t>
  </si>
  <si>
    <t>OD202500025</t>
  </si>
  <si>
    <t>OD202500026</t>
  </si>
  <si>
    <t>OD202500027</t>
  </si>
  <si>
    <t>OD202500028</t>
  </si>
  <si>
    <t>OD202500029</t>
  </si>
  <si>
    <t>OD202500030</t>
  </si>
  <si>
    <t>OD202500031</t>
  </si>
  <si>
    <t>OD202500032</t>
  </si>
  <si>
    <t>OD202500033</t>
  </si>
  <si>
    <t>OD202500034</t>
  </si>
  <si>
    <t>OD202500035</t>
  </si>
  <si>
    <t>OD202500036</t>
  </si>
  <si>
    <t>OD202500037</t>
  </si>
  <si>
    <t>OD202500038</t>
  </si>
  <si>
    <t>OD202500039</t>
  </si>
  <si>
    <t>OD202500040</t>
  </si>
  <si>
    <t>OD202500041</t>
  </si>
  <si>
    <t>OD202500042</t>
  </si>
  <si>
    <t>OD202500043</t>
  </si>
  <si>
    <t>OD202500044</t>
  </si>
  <si>
    <t>OD202500045</t>
  </si>
  <si>
    <t>OD202500046</t>
  </si>
  <si>
    <t>OD202500047</t>
  </si>
  <si>
    <t>OD202500048</t>
  </si>
  <si>
    <t>OD202500049</t>
  </si>
  <si>
    <t>OD202500050</t>
  </si>
  <si>
    <t>OD202500051</t>
  </si>
  <si>
    <t>OD202500052</t>
  </si>
  <si>
    <t>OD202500053</t>
  </si>
  <si>
    <t>OD202500054</t>
  </si>
  <si>
    <t>OD202500055</t>
  </si>
  <si>
    <t>OD202500056</t>
  </si>
  <si>
    <t>OD202500057</t>
  </si>
  <si>
    <t>OD202500058</t>
  </si>
  <si>
    <t>OD202500059</t>
  </si>
  <si>
    <t>OD202500060</t>
  </si>
  <si>
    <t>OD202500061</t>
  </si>
  <si>
    <t>OD202500062</t>
  </si>
  <si>
    <t>OD202500063</t>
  </si>
  <si>
    <t>OD202500064</t>
  </si>
  <si>
    <t>OD202500065</t>
  </si>
  <si>
    <t>OD202500066</t>
  </si>
  <si>
    <t>OD202500067</t>
  </si>
  <si>
    <t>OD202500068</t>
  </si>
  <si>
    <t>OD202500069</t>
  </si>
  <si>
    <t>OD202500070</t>
  </si>
  <si>
    <t>OD202500071</t>
  </si>
  <si>
    <t>OD202500072</t>
  </si>
  <si>
    <t>OD202500073</t>
  </si>
  <si>
    <t>OD202500074</t>
  </si>
  <si>
    <t>OD202500075</t>
  </si>
  <si>
    <t>OD202500076</t>
  </si>
  <si>
    <t>OD202500077</t>
  </si>
  <si>
    <t>OD202500078</t>
  </si>
  <si>
    <t>OD202500079</t>
  </si>
  <si>
    <t>OD202500080</t>
  </si>
  <si>
    <t>OD202500081</t>
  </si>
  <si>
    <t>OD202500082</t>
  </si>
  <si>
    <t>OD202500083</t>
  </si>
  <si>
    <t>OD202500084</t>
  </si>
  <si>
    <t>OD202500085</t>
  </si>
  <si>
    <t>OD202500086</t>
  </si>
  <si>
    <t>OD202500087</t>
  </si>
  <si>
    <t>OD202500088</t>
  </si>
  <si>
    <t>OD202500089</t>
  </si>
  <si>
    <t>OD202500090</t>
  </si>
  <si>
    <t>OD202500091</t>
  </si>
  <si>
    <t>OD202500092</t>
  </si>
  <si>
    <t>OD202500093</t>
  </si>
  <si>
    <t>OD202500094</t>
  </si>
  <si>
    <t>OD202500095</t>
  </si>
  <si>
    <t>OD202500096</t>
  </si>
  <si>
    <t>OD202500097</t>
  </si>
  <si>
    <t>OD202500098</t>
  </si>
  <si>
    <t>OD202500099</t>
  </si>
  <si>
    <t>OD202500100</t>
  </si>
  <si>
    <t>OD202500101</t>
  </si>
  <si>
    <t>OD202500102</t>
  </si>
  <si>
    <t>OD202500103</t>
  </si>
  <si>
    <t>OD202500104</t>
  </si>
  <si>
    <t>OD202500105</t>
  </si>
  <si>
    <t>OD202500106</t>
  </si>
  <si>
    <t>OD202500107</t>
  </si>
  <si>
    <t>OD202500108</t>
  </si>
  <si>
    <t>OD202500109</t>
  </si>
  <si>
    <t>OD202500110</t>
  </si>
  <si>
    <t>OD202500111</t>
  </si>
  <si>
    <t>OD202500112</t>
  </si>
  <si>
    <t>OD202500113</t>
  </si>
  <si>
    <t>OD202500114</t>
  </si>
  <si>
    <t>OD202500115</t>
  </si>
  <si>
    <t>OD202500116</t>
  </si>
  <si>
    <t>OD202500117</t>
  </si>
  <si>
    <t>OD202500118</t>
  </si>
  <si>
    <t>OD202500119</t>
  </si>
  <si>
    <t>OD202500120</t>
  </si>
  <si>
    <t>OD202500121</t>
  </si>
  <si>
    <t>OD202500122</t>
  </si>
  <si>
    <t>OD202500123</t>
  </si>
  <si>
    <t>OD202500124</t>
  </si>
  <si>
    <t>OD202500125</t>
  </si>
  <si>
    <t>OD202500126</t>
  </si>
  <si>
    <t>OD202500127</t>
  </si>
  <si>
    <t>OD202500128</t>
  </si>
  <si>
    <t>OD202500129</t>
  </si>
  <si>
    <t>OD202500130</t>
  </si>
  <si>
    <t>OD202500131</t>
  </si>
  <si>
    <t>OD202500132</t>
  </si>
  <si>
    <t>OD202500133</t>
  </si>
  <si>
    <t>OD202500134</t>
  </si>
  <si>
    <t>OD202500135</t>
  </si>
  <si>
    <t>OD202500136</t>
  </si>
  <si>
    <t>OD202500137</t>
  </si>
  <si>
    <t>OD202500138</t>
  </si>
  <si>
    <t>OD202500139</t>
  </si>
  <si>
    <t>OD202500140</t>
  </si>
  <si>
    <t>OD202500141</t>
  </si>
  <si>
    <t>OD202500142</t>
  </si>
  <si>
    <t>OD202500143</t>
  </si>
  <si>
    <t>OD202500144</t>
  </si>
  <si>
    <t>OD202500145</t>
  </si>
  <si>
    <t>OD202500146</t>
  </si>
  <si>
    <t>OD202500147</t>
  </si>
  <si>
    <t>OD202500148</t>
  </si>
  <si>
    <t>OD202500149</t>
  </si>
  <si>
    <t>OD202500150</t>
  </si>
  <si>
    <t>OD202500151</t>
  </si>
  <si>
    <t>OD202500152</t>
  </si>
  <si>
    <t>OD202500153</t>
  </si>
  <si>
    <t>OD202500154</t>
  </si>
  <si>
    <t>OD202500155</t>
  </si>
  <si>
    <t>OD202500156</t>
  </si>
  <si>
    <t>OD202500157</t>
  </si>
  <si>
    <t>OD202500158</t>
  </si>
  <si>
    <t>OD202500159</t>
  </si>
  <si>
    <t>OD202500160</t>
  </si>
  <si>
    <t>OD202500161</t>
  </si>
  <si>
    <t>OD202500162</t>
  </si>
  <si>
    <t>OD202500163</t>
  </si>
  <si>
    <t>OD202500164</t>
  </si>
  <si>
    <t>OD202500165</t>
  </si>
  <si>
    <t>OD202500166</t>
  </si>
  <si>
    <t>OD202500167</t>
  </si>
  <si>
    <t>OD202500168</t>
  </si>
  <si>
    <t>OD202500169</t>
  </si>
  <si>
    <t>OD202500170</t>
  </si>
  <si>
    <t>OD202500171</t>
  </si>
  <si>
    <t>OD202500172</t>
  </si>
  <si>
    <t>OD202500173</t>
  </si>
  <si>
    <t>OD202500174</t>
  </si>
  <si>
    <t>OD202500175</t>
  </si>
  <si>
    <t>OD202500176</t>
  </si>
  <si>
    <t>OD202500177</t>
  </si>
  <si>
    <t>OD202500178</t>
  </si>
  <si>
    <t>OD202500179</t>
  </si>
  <si>
    <t>OD202500180</t>
  </si>
  <si>
    <t>OD202500181</t>
  </si>
  <si>
    <t>OD202500182</t>
  </si>
  <si>
    <t>OD202500183</t>
  </si>
  <si>
    <t>OD202500184</t>
  </si>
  <si>
    <t>OD202500185</t>
  </si>
  <si>
    <t>OD202500186</t>
  </si>
  <si>
    <t>OD202500187</t>
  </si>
  <si>
    <t>OD202500188</t>
  </si>
  <si>
    <t>OD202500189</t>
  </si>
  <si>
    <t>OD202500190</t>
  </si>
  <si>
    <t>OD202500191</t>
  </si>
  <si>
    <t>OD202500192</t>
  </si>
  <si>
    <t>OD202500193</t>
  </si>
  <si>
    <t>OD202500194</t>
  </si>
  <si>
    <t>OD202500195</t>
  </si>
  <si>
    <t>OD202500196</t>
  </si>
  <si>
    <t>OD202500197</t>
  </si>
  <si>
    <t>OD202500198</t>
  </si>
  <si>
    <t>OD202500199</t>
  </si>
  <si>
    <t>OD202500200</t>
  </si>
  <si>
    <t>OD202500201</t>
  </si>
  <si>
    <t>OD202500202</t>
  </si>
  <si>
    <t>OD202500203</t>
  </si>
  <si>
    <t>OD202500204</t>
  </si>
  <si>
    <t>OD202500205</t>
  </si>
  <si>
    <t>OD202500206</t>
  </si>
  <si>
    <t>OD202500207</t>
  </si>
  <si>
    <t>OD202500208</t>
  </si>
  <si>
    <t>OD202500209</t>
  </si>
  <si>
    <t>OD202500210</t>
  </si>
  <si>
    <t>OD202500211</t>
  </si>
  <si>
    <t>OD202500212</t>
  </si>
  <si>
    <t>OD202500213</t>
  </si>
  <si>
    <t>OD202500214</t>
  </si>
  <si>
    <t>OD202500215</t>
  </si>
  <si>
    <t>OD202500216</t>
  </si>
  <si>
    <t>OD202500217</t>
  </si>
  <si>
    <t>OD202500218</t>
  </si>
  <si>
    <t>OD202500219</t>
  </si>
  <si>
    <t>OD202500220</t>
  </si>
  <si>
    <t>OD202500221</t>
  </si>
  <si>
    <t>OD202500222</t>
  </si>
  <si>
    <t>OD202500223</t>
  </si>
  <si>
    <t>OD202500224</t>
  </si>
  <si>
    <t>OD202500225</t>
  </si>
  <si>
    <t>OD202500226</t>
  </si>
  <si>
    <t>OD202500227</t>
  </si>
  <si>
    <t>OD202500228</t>
  </si>
  <si>
    <t>OD202500229</t>
  </si>
  <si>
    <t>OD202500230</t>
  </si>
  <si>
    <t>OD202500231</t>
  </si>
  <si>
    <t>OD202500232</t>
  </si>
  <si>
    <t>OD202500233</t>
  </si>
  <si>
    <t>OD202500234</t>
  </si>
  <si>
    <t>OD202500235</t>
  </si>
  <si>
    <t>OD202500236</t>
  </si>
  <si>
    <t>OD202500237</t>
  </si>
  <si>
    <t>OD202500238</t>
  </si>
  <si>
    <t>OD202500239</t>
  </si>
  <si>
    <t>OD202500240</t>
  </si>
  <si>
    <t>OD202500241</t>
  </si>
  <si>
    <t>OD202500242</t>
  </si>
  <si>
    <t>OD202500243</t>
  </si>
  <si>
    <t>OD202500244</t>
  </si>
  <si>
    <t>OD202500245</t>
  </si>
  <si>
    <t>OD202500246</t>
  </si>
  <si>
    <t>OD202500247</t>
  </si>
  <si>
    <t>OD202500248</t>
  </si>
  <si>
    <t>OD202500249</t>
  </si>
  <si>
    <t>OD202500250</t>
  </si>
  <si>
    <t>OD202500251</t>
  </si>
  <si>
    <t>OD202500252</t>
  </si>
  <si>
    <t>OD202500253</t>
  </si>
  <si>
    <t>OD202500254</t>
  </si>
  <si>
    <t>OD202500255</t>
  </si>
  <si>
    <t>OD202500256</t>
  </si>
  <si>
    <t>OD202500257</t>
  </si>
  <si>
    <t>OD202500258</t>
  </si>
  <si>
    <t>OD202500259</t>
  </si>
  <si>
    <t>OD202500260</t>
  </si>
  <si>
    <t>OD202500261</t>
  </si>
  <si>
    <t>OD202500262</t>
  </si>
  <si>
    <t>OD202500263</t>
  </si>
  <si>
    <t>OD202500264</t>
  </si>
  <si>
    <t>OD202500265</t>
  </si>
  <si>
    <t>OD202500266</t>
  </si>
  <si>
    <t>OD202500267</t>
  </si>
  <si>
    <t>OD202500268</t>
  </si>
  <si>
    <t>OD202500269</t>
  </si>
  <si>
    <t>OD202500270</t>
  </si>
  <si>
    <t>OD202500271</t>
  </si>
  <si>
    <t>OD202500272</t>
  </si>
  <si>
    <t>OD202500273</t>
  </si>
  <si>
    <t>OD202500274</t>
  </si>
  <si>
    <t>OD202500275</t>
  </si>
  <si>
    <t>OD202500276</t>
  </si>
  <si>
    <t>OD202500277</t>
  </si>
  <si>
    <t>OD202500278</t>
  </si>
  <si>
    <t>OD202500279</t>
  </si>
  <si>
    <t>OD202500280</t>
  </si>
  <si>
    <t>OD202500281</t>
  </si>
  <si>
    <t>OD202500282</t>
  </si>
  <si>
    <t>OD202500283</t>
  </si>
  <si>
    <t>OD202500284</t>
  </si>
  <si>
    <t>OD202500285</t>
  </si>
  <si>
    <t>OD202500286</t>
  </si>
  <si>
    <t>OD202500287</t>
  </si>
  <si>
    <t>OD202500288</t>
  </si>
  <si>
    <t>OD202500289</t>
  </si>
  <si>
    <t>OD202500290</t>
  </si>
  <si>
    <t>OD202500291</t>
  </si>
  <si>
    <t>OD202500292</t>
  </si>
  <si>
    <t>OD202500293</t>
  </si>
  <si>
    <t>OD202500294</t>
  </si>
  <si>
    <t>OD202500295</t>
  </si>
  <si>
    <t>OD202500296</t>
  </si>
  <si>
    <t>OD202500297</t>
  </si>
  <si>
    <t>OD202500298</t>
  </si>
  <si>
    <t>OD202500299</t>
  </si>
  <si>
    <t>OD202500300</t>
  </si>
  <si>
    <t>OD202500301</t>
  </si>
  <si>
    <t>OD202500302</t>
  </si>
  <si>
    <t>OD202500303</t>
  </si>
  <si>
    <t>OD202500304</t>
  </si>
  <si>
    <t>索引</t>
  </si>
  <si>
    <t>状态自定义</t>
  </si>
  <si>
    <t>正常</t>
  </si>
  <si>
    <t>All</t>
  </si>
  <si>
    <t>以下项目的总和:订单金额</t>
  </si>
  <si>
    <t>列标签</t>
  </si>
  <si>
    <t>行标签</t>
  </si>
  <si>
    <t>求和项:订单金额</t>
  </si>
  <si>
    <t>销售金额占比</t>
  </si>
  <si>
    <t>总计</t>
  </si>
  <si>
    <t>无</t>
  </si>
  <si>
    <t>(空白)</t>
  </si>
  <si>
    <t>销售总金额</t>
  </si>
  <si>
    <t>&lt;2025/1/1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</si>
  <si>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</si>
  <si>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</si>
  <si>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</si>
  <si>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</si>
  <si>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</si>
  <si>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</si>
  <si>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</si>
  <si>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</si>
  <si>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</si>
  <si>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</si>
  <si>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异常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</si>
</sst>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;[Red]\-#,##0.00\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b/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 style="thin">
        <color theme="9" tint="0.399975585192419"/>
      </right>
      <top style="thin">
        <color theme="9" tint="0.399975585192419"/>
      </top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0" applyNumberFormat="0" applyAlignment="0" applyProtection="0">
      <alignment vertical="center"/>
    </xf>
    <xf numFmtId="0" fontId="13" fillId="8" borderId="11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9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  <xf numFmtId="0" fontId="1" fillId="0" borderId="0" xfId="0" applyFont="1">
      <alignment vertical="center"/>
    </xf>
    <xf numFmtId="177" fontId="0" fillId="0" borderId="0" xfId="0" applyNumberForma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3" fillId="4" borderId="1" xfId="0" applyFont="1" applyFill="1" applyBorder="1">
      <alignment vertical="center"/>
    </xf>
    <xf numFmtId="0" fontId="3" fillId="4" borderId="2" xfId="0" applyFont="1" applyFill="1" applyBorder="1">
      <alignment vertical="center"/>
    </xf>
    <xf numFmtId="0" fontId="3" fillId="4" borderId="3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5" borderId="2" xfId="0" applyFont="1" applyFill="1" applyBorder="1">
      <alignment vertical="center"/>
    </xf>
    <xf numFmtId="14" fontId="1" fillId="5" borderId="3" xfId="0" applyNumberFormat="1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14" fontId="1" fillId="0" borderId="3" xfId="0" applyNumberFormat="1" applyFont="1" applyBorder="1">
      <alignment vertical="center"/>
    </xf>
    <xf numFmtId="0" fontId="1" fillId="5" borderId="4" xfId="0" applyFont="1" applyFill="1" applyBorder="1">
      <alignment vertical="center"/>
    </xf>
    <xf numFmtId="0" fontId="1" fillId="5" borderId="5" xfId="0" applyFont="1" applyFill="1" applyBorder="1">
      <alignment vertical="center"/>
    </xf>
    <xf numFmtId="14" fontId="1" fillId="5" borderId="6" xfId="0" applyNumberFormat="1" applyFont="1" applyFill="1" applyBorder="1">
      <alignment vertical="center"/>
    </xf>
    <xf numFmtId="0" fontId="1" fillId="5" borderId="0" xfId="0" applyFont="1" applyFill="1">
      <alignment vertical="center"/>
    </xf>
    <xf numFmtId="0" fontId="1" fillId="5" borderId="3" xfId="0" applyFont="1" applyFill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5" borderId="6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6" formatCode="0.00_ "/>
    </dxf>
    <dxf>
      <numFmt numFmtId="14" formatCode="yyyy/m/d"/>
    </dxf>
    <dxf>
      <fill>
        <patternFill patternType="solid">
          <bgColor rgb="FFFFC000"/>
        </patternFill>
      </fill>
    </dxf>
    <dxf>
      <font>
        <name val="黑体"/>
        <scheme val="none"/>
        <charset val="134"/>
        <family val="3"/>
        <b val="0"/>
        <i val="0"/>
      </font>
    </dxf>
  </dxfs>
  <tableStyles count="1" defaultTableStyle="TableStyleMedium2" defaultPivotStyle="PivotStyleLight16">
    <tableStyle name="切片器样式 1" pivot="0" table="0" count="1" xr9:uid="{9080FB46-E175-4B32-A762-3801E50C1C96}">
      <tableStyleElement type="headerRow" dxfId="9"/>
    </tableStyle>
  </tableStyles>
  <colors>
    <mruColors>
      <color rgb="004588CB"/>
      <color rgb="00E7E6E6"/>
      <color rgb="00BFBFBF"/>
      <color rgb="0069A5A9"/>
      <color rgb="0069A9A7"/>
      <color rgb="00C3DBD9"/>
      <color rgb="0048C7C7"/>
      <color rgb="00FFFFFF"/>
      <color rgb="00FCFCFC"/>
      <color rgb="00FAFAFA"/>
    </mruColors>
  </colors>
  <extLst>
    <ext xmlns:x14="http://schemas.microsoft.com/office/spreadsheetml/2009/9/main" uri="{EB79DEF2-80B8-43e5-95BD-54CBDDF9020C}">
      <x14:slicerStyles defaultSlicerStyle="SlicerStyleLight1">
        <x14:slicerStyle name="切片器样式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customXml" Target="../customXml/item1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工作表.xlsx]合并1!数据透视表2</c:name>
    <c:fmtId val="5"/>
  </c:pivotSource>
  <c:chart>
    <c:autoTitleDeleted val="1"/>
    <c:plotArea>
      <c:layout>
        <c:manualLayout>
          <c:layoutTarget val="inner"/>
          <c:xMode val="edge"/>
          <c:yMode val="edge"/>
          <c:x val="0.0752336712348474"/>
          <c:y val="0.120926564853716"/>
          <c:w val="0.853196025057242"/>
          <c:h val="0.6566893085745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合并1!$Y$6</c:f>
              <c:strCache>
                <c:ptCount val="1"/>
                <c:pt idx="0">
                  <c:v>求和项:订单金额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2520000"/>
                  </a:schemeClr>
                </a:gs>
                <a:gs pos="100000">
                  <a:schemeClr val="accent1"/>
                </a:gs>
              </a:gsLst>
              <a:lin ang="27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合并1!$X$7:$X$19</c:f>
              <c:strCache>
                <c:ptCount val="12"/>
                <c:pt idx="0">
                  <c:v>北京通达科技</c:v>
                </c:pt>
                <c:pt idx="1">
                  <c:v>成都宏图数码</c:v>
                </c:pt>
                <c:pt idx="2">
                  <c:v>广州盛达电子</c:v>
                </c:pt>
                <c:pt idx="3">
                  <c:v>杭州浙东商贸</c:v>
                </c:pt>
                <c:pt idx="4">
                  <c:v>上海鑫源贸易</c:v>
                </c:pt>
                <c:pt idx="5">
                  <c:v>深圳前海科技</c:v>
                </c:pt>
                <c:pt idx="6">
                  <c:v>天津北方实业</c:v>
                </c:pt>
                <c:pt idx="7">
                  <c:v>无</c:v>
                </c:pt>
                <c:pt idx="8">
                  <c:v>武汉联创科技</c:v>
                </c:pt>
                <c:pt idx="9">
                  <c:v>西安丝路电子</c:v>
                </c:pt>
                <c:pt idx="10">
                  <c:v>重庆两江商贸</c:v>
                </c:pt>
                <c:pt idx="11">
                  <c:v>(空白)</c:v>
                </c:pt>
              </c:strCache>
            </c:strRef>
          </c:cat>
          <c:val>
            <c:numRef>
              <c:f>合并1!$Y$7:$Y$19</c:f>
              <c:numCache>
                <c:formatCode>General</c:formatCode>
                <c:ptCount val="12"/>
                <c:pt idx="0">
                  <c:v>110733</c:v>
                </c:pt>
                <c:pt idx="1">
                  <c:v>104466</c:v>
                </c:pt>
                <c:pt idx="2">
                  <c:v>114000</c:v>
                </c:pt>
                <c:pt idx="3">
                  <c:v>54729</c:v>
                </c:pt>
                <c:pt idx="4">
                  <c:v>119380</c:v>
                </c:pt>
                <c:pt idx="5">
                  <c:v>60310</c:v>
                </c:pt>
                <c:pt idx="6">
                  <c:v>44493</c:v>
                </c:pt>
                <c:pt idx="7">
                  <c:v>669</c:v>
                </c:pt>
                <c:pt idx="8">
                  <c:v>111438</c:v>
                </c:pt>
                <c:pt idx="9">
                  <c:v>54472</c:v>
                </c:pt>
                <c:pt idx="10">
                  <c:v>48007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5926784"/>
        <c:axId val="1905927264"/>
      </c:barChart>
      <c:lineChart>
        <c:grouping val="standard"/>
        <c:varyColors val="0"/>
        <c:ser>
          <c:idx val="1"/>
          <c:order val="1"/>
          <c:tx>
            <c:strRef>
              <c:f>合并1!$Z$6</c:f>
              <c:strCache>
                <c:ptCount val="1"/>
                <c:pt idx="0">
                  <c:v>销售金额占比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2">
                      <a:hueOff val="-2520000"/>
                    </a:schemeClr>
                  </a:gs>
                  <a:gs pos="100000">
                    <a:schemeClr val="accent2"/>
                  </a:gs>
                </a:gsLst>
                <a:lin ang="27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合并1!$X$7:$X$19</c:f>
              <c:strCache>
                <c:ptCount val="12"/>
                <c:pt idx="0">
                  <c:v>北京通达科技</c:v>
                </c:pt>
                <c:pt idx="1">
                  <c:v>成都宏图数码</c:v>
                </c:pt>
                <c:pt idx="2">
                  <c:v>广州盛达电子</c:v>
                </c:pt>
                <c:pt idx="3">
                  <c:v>杭州浙东商贸</c:v>
                </c:pt>
                <c:pt idx="4">
                  <c:v>上海鑫源贸易</c:v>
                </c:pt>
                <c:pt idx="5">
                  <c:v>深圳前海科技</c:v>
                </c:pt>
                <c:pt idx="6">
                  <c:v>天津北方实业</c:v>
                </c:pt>
                <c:pt idx="7">
                  <c:v>无</c:v>
                </c:pt>
                <c:pt idx="8">
                  <c:v>武汉联创科技</c:v>
                </c:pt>
                <c:pt idx="9">
                  <c:v>西安丝路电子</c:v>
                </c:pt>
                <c:pt idx="10">
                  <c:v>重庆两江商贸</c:v>
                </c:pt>
                <c:pt idx="11">
                  <c:v>(空白)</c:v>
                </c:pt>
              </c:strCache>
            </c:strRef>
          </c:cat>
          <c:val>
            <c:numRef>
              <c:f>合并1!$Z$7:$Z$19</c:f>
              <c:numCache>
                <c:formatCode>0.00%</c:formatCode>
                <c:ptCount val="12"/>
                <c:pt idx="0">
                  <c:v>0.997991584905292</c:v>
                </c:pt>
                <c:pt idx="1">
                  <c:v>0.965047398981642</c:v>
                </c:pt>
                <c:pt idx="2">
                  <c:v>1.05312162314923</c:v>
                </c:pt>
                <c:pt idx="3">
                  <c:v>1.01116304058481</c:v>
                </c:pt>
                <c:pt idx="4">
                  <c:v>1.07592348627775</c:v>
                </c:pt>
                <c:pt idx="5">
                  <c:v>1.11427658056368</c:v>
                </c:pt>
                <c:pt idx="6">
                  <c:v>0.822044568048747</c:v>
                </c:pt>
                <c:pt idx="7">
                  <c:v>0.247206444170819</c:v>
                </c:pt>
                <c:pt idx="8">
                  <c:v>1.00434546376126</c:v>
                </c:pt>
                <c:pt idx="9">
                  <c:v>1.00641475537166</c:v>
                </c:pt>
                <c:pt idx="10">
                  <c:v>0.886968592324999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1905932064"/>
        <c:axId val="1905921984"/>
      </c:lineChart>
      <c:catAx>
        <c:axId val="190592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2000" b="0" i="0" u="none" strike="noStrike" kern="1200" baseline="0">
                    <a:solidFill>
                      <a:schemeClr val="tx2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sz="2000" b="0">
                    <a:latin typeface="黑体" panose="02010609060101010101" pitchFamily="49" charset="-122"/>
                    <a:ea typeface="黑体" panose="02010609060101010101" pitchFamily="49" charset="-122"/>
                  </a:rPr>
                  <a:t>销量总金额</a:t>
                </a:r>
                <a:endParaRPr lang="zh-CN" sz="2000" b="0">
                  <a:latin typeface="黑体" panose="02010609060101010101" pitchFamily="49" charset="-122"/>
                  <a:ea typeface="黑体" panose="02010609060101010101" pitchFamily="49" charset="-122"/>
                </a:endParaRPr>
              </a:p>
            </c:rich>
          </c:tx>
          <c:layout>
            <c:manualLayout>
              <c:xMode val="edge"/>
              <c:yMode val="edge"/>
              <c:x val="0.0105507562393813"/>
              <c:y val="0.0181317668202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905927264"/>
        <c:crosses val="autoZero"/>
        <c:auto val="1"/>
        <c:lblAlgn val="ctr"/>
        <c:lblOffset val="100"/>
        <c:noMultiLvlLbl val="0"/>
      </c:catAx>
      <c:valAx>
        <c:axId val="190592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905926784"/>
        <c:crosses val="autoZero"/>
        <c:crossBetween val="between"/>
      </c:valAx>
      <c:catAx>
        <c:axId val="1905932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905921984"/>
        <c:crosses val="autoZero"/>
        <c:auto val="1"/>
        <c:lblAlgn val="ctr"/>
        <c:lblOffset val="100"/>
        <c:noMultiLvlLbl val="0"/>
      </c:catAx>
      <c:valAx>
        <c:axId val="19059219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90593206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6d257e0-09d0-4aba-9a6d-fe4583335278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28000"/>
        </a:prstClr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工作表.xlsx]合并1!数据透视表4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>
                <a:latin typeface="黑体" panose="02010609060101010101" pitchFamily="49" charset="-122"/>
                <a:ea typeface="黑体" panose="02010609060101010101" pitchFamily="49" charset="-122"/>
              </a:rPr>
              <a:t>地区销售占比</a:t>
            </a:r>
            <a:endParaRPr lang="zh-CN" altLang="en-US" sz="2000"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0.231248990019469"/>
          <c:y val="0.04438807198137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合并1!$AD$16</c:f>
              <c:strCache>
                <c:ptCount val="1"/>
                <c:pt idx="0">
                  <c:v>汇总</c:v>
                </c:pt>
              </c:strCache>
            </c:strRef>
          </c:tx>
          <c:spPr/>
          <c:explosion val="8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合并1!$AC$17:$AC$24</c:f>
              <c:strCache>
                <c:ptCount val="7"/>
                <c:pt idx="0">
                  <c:v>华北</c:v>
                </c:pt>
                <c:pt idx="1">
                  <c:v>华东</c:v>
                </c:pt>
                <c:pt idx="2">
                  <c:v>华南</c:v>
                </c:pt>
                <c:pt idx="3">
                  <c:v>华中</c:v>
                </c:pt>
                <c:pt idx="4">
                  <c:v>西北</c:v>
                </c:pt>
                <c:pt idx="5">
                  <c:v>西南</c:v>
                </c:pt>
                <c:pt idx="6">
                  <c:v>(空白)</c:v>
                </c:pt>
              </c:strCache>
            </c:strRef>
          </c:cat>
          <c:val>
            <c:numRef>
              <c:f>合并1!$AD$17:$AD$24</c:f>
              <c:numCache>
                <c:formatCode>General</c:formatCode>
                <c:ptCount val="7"/>
                <c:pt idx="0">
                  <c:v>183906</c:v>
                </c:pt>
                <c:pt idx="1">
                  <c:v>200812</c:v>
                </c:pt>
                <c:pt idx="2">
                  <c:v>157873</c:v>
                </c:pt>
                <c:pt idx="3">
                  <c:v>102863</c:v>
                </c:pt>
                <c:pt idx="4">
                  <c:v>80101</c:v>
                </c:pt>
                <c:pt idx="5">
                  <c:v>97142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76f1b5-4665-4968-ab2e-87d466c21ae4}"/>
      </c:ext>
    </c:extLst>
  </c:chart>
  <c:spPr>
    <a:solidFill>
      <a:schemeClr val="bg1"/>
    </a:solidFill>
    <a:ln w="9525" cap="flat" cmpd="sng" algn="ctr">
      <a:noFill/>
      <a:round/>
    </a:ln>
    <a:effectLst>
      <a:outerShdw blurRad="101600" dist="50800" dir="2700000" algn="tl" rotWithShape="0">
        <a:schemeClr val="bg1">
          <a:lumMod val="50000"/>
          <a:alpha val="40000"/>
        </a:schemeClr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工作表.xlsx]合并1!数据透视表3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2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sz="2000" b="0">
                <a:latin typeface="黑体" panose="02010609060101010101" pitchFamily="49" charset="-122"/>
                <a:ea typeface="黑体" panose="02010609060101010101" pitchFamily="49" charset="-122"/>
              </a:rPr>
              <a:t>客户等级</a:t>
            </a:r>
            <a:r>
              <a:rPr lang="zh-CN" altLang="en-US" sz="2000" b="0">
                <a:latin typeface="黑体" panose="02010609060101010101" pitchFamily="49" charset="-122"/>
                <a:ea typeface="黑体" panose="02010609060101010101" pitchFamily="49" charset="-122"/>
              </a:rPr>
              <a:t>趋势</a:t>
            </a:r>
            <a:endParaRPr lang="zh-CN" sz="2000" b="0"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合并1!$AC$6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2520000"/>
                  </a:schemeClr>
                </a:gs>
                <a:gs pos="100000">
                  <a:schemeClr val="accent1"/>
                </a:gs>
              </a:gsLst>
              <a:lin ang="27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合并1!$AB$7:$AB$11</c:f>
              <c:strCache>
                <c:ptCount val="4"/>
                <c:pt idx="0">
                  <c:v>VIP</c:v>
                </c:pt>
                <c:pt idx="1">
                  <c:v>普通</c:v>
                </c:pt>
                <c:pt idx="2">
                  <c:v>无</c:v>
                </c:pt>
                <c:pt idx="3">
                  <c:v>(空白)</c:v>
                </c:pt>
              </c:strCache>
            </c:strRef>
          </c:cat>
          <c:val>
            <c:numRef>
              <c:f>合并1!$AC$7:$AC$11</c:f>
              <c:numCache>
                <c:formatCode>General</c:formatCode>
                <c:ptCount val="4"/>
                <c:pt idx="0">
                  <c:v>225772</c:v>
                </c:pt>
                <c:pt idx="1">
                  <c:v>596256</c:v>
                </c:pt>
                <c:pt idx="2">
                  <c:v>669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13319216"/>
        <c:axId val="313324496"/>
      </c:barChart>
      <c:catAx>
        <c:axId val="313319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313324496"/>
        <c:crosses val="autoZero"/>
        <c:auto val="1"/>
        <c:lblAlgn val="ctr"/>
        <c:lblOffset val="100"/>
        <c:noMultiLvlLbl val="0"/>
      </c:catAx>
      <c:valAx>
        <c:axId val="31332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31331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2e219611-50d7-4b0f-a88d-580fa86f7c19}"/>
      </c:ext>
    </c:extLst>
  </c:chart>
  <c:spPr>
    <a:solidFill>
      <a:schemeClr val="bg1"/>
    </a:solidFill>
    <a:ln w="9525" cap="flat" cmpd="sng" algn="ctr">
      <a:noFill/>
      <a:round/>
    </a:ln>
    <a:effectLst>
      <a:outerShdw blurRad="101600" dist="50800" dir="2700000" algn="tl" rotWithShape="0">
        <a:schemeClr val="bg1">
          <a:lumMod val="50000"/>
          <a:alpha val="40000"/>
        </a:schemeClr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工作表.xlsx]合并1!数据透视表5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0" i="0" u="none" strike="noStrike" kern="1200" cap="none" spc="2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sz="200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月份汇总</a:t>
            </a:r>
            <a:endParaRPr lang="zh-CN" sz="200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0.00797222222222223"/>
          <c:y val="0.02314814814814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合并1!$Z$30</c:f>
              <c:strCache>
                <c:ptCount val="1"/>
                <c:pt idx="0">
                  <c:v>汇总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noFill/>
                <a:round/>
              </a:ln>
              <a:effectLst/>
            </c:spPr>
          </c:marker>
          <c:dLbls>
            <c:delete val="1"/>
          </c:dLbls>
          <c:cat>
            <c:strRef>
              <c:f>合并1!$Y$31:$Y$42</c:f>
              <c:strCache>
                <c:ptCount val="11"/>
                <c:pt idx="0">
                  <c:v>&lt;2025/1/1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</c:strCache>
            </c:strRef>
          </c:cat>
          <c:val>
            <c:numRef>
              <c:f>合并1!$Z$31:$Z$42</c:f>
              <c:numCache>
                <c:formatCode>General</c:formatCode>
                <c:ptCount val="11"/>
                <c:pt idx="1">
                  <c:v>118032</c:v>
                </c:pt>
                <c:pt idx="2">
                  <c:v>78738</c:v>
                </c:pt>
                <c:pt idx="3">
                  <c:v>93117</c:v>
                </c:pt>
                <c:pt idx="4">
                  <c:v>83406</c:v>
                </c:pt>
                <c:pt idx="5">
                  <c:v>82540</c:v>
                </c:pt>
                <c:pt idx="6">
                  <c:v>75942</c:v>
                </c:pt>
                <c:pt idx="7">
                  <c:v>85629</c:v>
                </c:pt>
                <c:pt idx="8">
                  <c:v>89383</c:v>
                </c:pt>
                <c:pt idx="9">
                  <c:v>74012</c:v>
                </c:pt>
                <c:pt idx="10">
                  <c:v>41898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2">
                  <a:lumMod val="50000"/>
                  <a:alpha val="33000"/>
                </a:schemeClr>
              </a:solidFill>
              <a:round/>
            </a:ln>
            <a:effectLst/>
          </c:spPr>
        </c:dropLines>
        <c:marker val="1"/>
        <c:smooth val="1"/>
        <c:axId val="313326896"/>
        <c:axId val="313332656"/>
      </c:lineChart>
      <c:catAx>
        <c:axId val="31332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3332656"/>
        <c:crosses val="autoZero"/>
        <c:auto val="1"/>
        <c:lblAlgn val="ctr"/>
        <c:lblOffset val="100"/>
        <c:noMultiLvlLbl val="0"/>
      </c:catAx>
      <c:valAx>
        <c:axId val="313332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3326896"/>
        <c:crosses val="autoZero"/>
        <c:crossBetween val="between"/>
      </c:valAx>
      <c:spPr>
        <a:gradFill>
          <a:gsLst>
            <a:gs pos="0">
              <a:schemeClr val="bg1"/>
            </a:gs>
            <a:gs pos="98000">
              <a:schemeClr val="accent2">
                <a:lumMod val="20000"/>
                <a:lumOff val="8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1a361ec-7c29-43d0-b858-ba84d8e58e15}"/>
      </c:ext>
    </c:extLst>
  </c:chart>
  <c:spPr>
    <a:solidFill>
      <a:schemeClr val="lt1"/>
    </a:solidFill>
    <a:ln w="9525" cap="flat" cmpd="sng" algn="ctr">
      <a:noFill/>
      <a:round/>
    </a:ln>
    <a:effectLst>
      <a:outerShdw blurRad="101600" dist="50800" dir="2700000" algn="tl" rotWithShape="0">
        <a:schemeClr val="bg1">
          <a:lumMod val="50000"/>
          <a:alpha val="40000"/>
        </a:schemeClr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工作表.xlsx]合并1!数据透视表2</c:name>
    <c:fmtId val="2"/>
  </c:pivotSource>
  <c:chart>
    <c:autoTitleDeleted val="1"/>
    <c:plotArea>
      <c:layout>
        <c:manualLayout>
          <c:layoutTarget val="inner"/>
          <c:xMode val="edge"/>
          <c:yMode val="edge"/>
          <c:x val="0.0752336712348474"/>
          <c:y val="0.120926564853716"/>
          <c:w val="0.853196025057242"/>
          <c:h val="0.6566893085745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合并1!$Y$6</c:f>
              <c:strCache>
                <c:ptCount val="1"/>
                <c:pt idx="0">
                  <c:v>求和项:订单金额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2520000"/>
                  </a:schemeClr>
                </a:gs>
                <a:gs pos="100000">
                  <a:schemeClr val="accent1"/>
                </a:gs>
              </a:gsLst>
              <a:lin ang="27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合并1!$X$7:$X$19</c:f>
              <c:strCache>
                <c:ptCount val="12"/>
                <c:pt idx="0">
                  <c:v>北京通达科技</c:v>
                </c:pt>
                <c:pt idx="1">
                  <c:v>成都宏图数码</c:v>
                </c:pt>
                <c:pt idx="2">
                  <c:v>广州盛达电子</c:v>
                </c:pt>
                <c:pt idx="3">
                  <c:v>杭州浙东商贸</c:v>
                </c:pt>
                <c:pt idx="4">
                  <c:v>上海鑫源贸易</c:v>
                </c:pt>
                <c:pt idx="5">
                  <c:v>深圳前海科技</c:v>
                </c:pt>
                <c:pt idx="6">
                  <c:v>天津北方实业</c:v>
                </c:pt>
                <c:pt idx="7">
                  <c:v>无</c:v>
                </c:pt>
                <c:pt idx="8">
                  <c:v>武汉联创科技</c:v>
                </c:pt>
                <c:pt idx="9">
                  <c:v>西安丝路电子</c:v>
                </c:pt>
                <c:pt idx="10">
                  <c:v>重庆两江商贸</c:v>
                </c:pt>
                <c:pt idx="11">
                  <c:v>(空白)</c:v>
                </c:pt>
              </c:strCache>
            </c:strRef>
          </c:cat>
          <c:val>
            <c:numRef>
              <c:f>合并1!$Y$7:$Y$19</c:f>
              <c:numCache>
                <c:formatCode>General</c:formatCode>
                <c:ptCount val="12"/>
                <c:pt idx="0">
                  <c:v>110733</c:v>
                </c:pt>
                <c:pt idx="1">
                  <c:v>104466</c:v>
                </c:pt>
                <c:pt idx="2">
                  <c:v>114000</c:v>
                </c:pt>
                <c:pt idx="3">
                  <c:v>54729</c:v>
                </c:pt>
                <c:pt idx="4">
                  <c:v>119380</c:v>
                </c:pt>
                <c:pt idx="5">
                  <c:v>60310</c:v>
                </c:pt>
                <c:pt idx="6">
                  <c:v>44493</c:v>
                </c:pt>
                <c:pt idx="7">
                  <c:v>669</c:v>
                </c:pt>
                <c:pt idx="8">
                  <c:v>111438</c:v>
                </c:pt>
                <c:pt idx="9">
                  <c:v>54472</c:v>
                </c:pt>
                <c:pt idx="10">
                  <c:v>48007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05926784"/>
        <c:axId val="1905927264"/>
      </c:barChart>
      <c:lineChart>
        <c:grouping val="standard"/>
        <c:varyColors val="0"/>
        <c:ser>
          <c:idx val="1"/>
          <c:order val="1"/>
          <c:tx>
            <c:strRef>
              <c:f>合并1!$Z$6</c:f>
              <c:strCache>
                <c:ptCount val="1"/>
                <c:pt idx="0">
                  <c:v>销售金额占比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>
                <a:gsLst>
                  <a:gs pos="0">
                    <a:schemeClr val="accent2">
                      <a:hueOff val="-2520000"/>
                    </a:schemeClr>
                  </a:gs>
                  <a:gs pos="100000">
                    <a:schemeClr val="accent2"/>
                  </a:gs>
                </a:gsLst>
                <a:lin ang="27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合并1!$X$7:$X$19</c:f>
              <c:strCache>
                <c:ptCount val="12"/>
                <c:pt idx="0">
                  <c:v>北京通达科技</c:v>
                </c:pt>
                <c:pt idx="1">
                  <c:v>成都宏图数码</c:v>
                </c:pt>
                <c:pt idx="2">
                  <c:v>广州盛达电子</c:v>
                </c:pt>
                <c:pt idx="3">
                  <c:v>杭州浙东商贸</c:v>
                </c:pt>
                <c:pt idx="4">
                  <c:v>上海鑫源贸易</c:v>
                </c:pt>
                <c:pt idx="5">
                  <c:v>深圳前海科技</c:v>
                </c:pt>
                <c:pt idx="6">
                  <c:v>天津北方实业</c:v>
                </c:pt>
                <c:pt idx="7">
                  <c:v>无</c:v>
                </c:pt>
                <c:pt idx="8">
                  <c:v>武汉联创科技</c:v>
                </c:pt>
                <c:pt idx="9">
                  <c:v>西安丝路电子</c:v>
                </c:pt>
                <c:pt idx="10">
                  <c:v>重庆两江商贸</c:v>
                </c:pt>
                <c:pt idx="11">
                  <c:v>(空白)</c:v>
                </c:pt>
              </c:strCache>
            </c:strRef>
          </c:cat>
          <c:val>
            <c:numRef>
              <c:f>合并1!$Z$7:$Z$19</c:f>
              <c:numCache>
                <c:formatCode>0.00%</c:formatCode>
                <c:ptCount val="12"/>
                <c:pt idx="0">
                  <c:v>0.997991584905292</c:v>
                </c:pt>
                <c:pt idx="1">
                  <c:v>0.965047398981642</c:v>
                </c:pt>
                <c:pt idx="2">
                  <c:v>1.05312162314923</c:v>
                </c:pt>
                <c:pt idx="3">
                  <c:v>1.01116304058481</c:v>
                </c:pt>
                <c:pt idx="4">
                  <c:v>1.07592348627775</c:v>
                </c:pt>
                <c:pt idx="5">
                  <c:v>1.11427658056368</c:v>
                </c:pt>
                <c:pt idx="6">
                  <c:v>0.822044568048747</c:v>
                </c:pt>
                <c:pt idx="7">
                  <c:v>0.247206444170819</c:v>
                </c:pt>
                <c:pt idx="8">
                  <c:v>1.00434546376126</c:v>
                </c:pt>
                <c:pt idx="9">
                  <c:v>1.00641475537166</c:v>
                </c:pt>
                <c:pt idx="10">
                  <c:v>0.886968592324999</c:v>
                </c:pt>
                <c:pt idx="11">
                  <c:v>0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1"/>
        <c:axId val="1905932064"/>
        <c:axId val="1905921984"/>
      </c:lineChart>
      <c:catAx>
        <c:axId val="1905926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2000" b="0" i="0" u="none" strike="noStrike" kern="1200" baseline="0">
                    <a:solidFill>
                      <a:schemeClr val="tx2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sz="2000" b="0">
                    <a:latin typeface="黑体" panose="02010609060101010101" pitchFamily="49" charset="-122"/>
                    <a:ea typeface="黑体" panose="02010609060101010101" pitchFamily="49" charset="-122"/>
                  </a:rPr>
                  <a:t>销量总金额</a:t>
                </a:r>
                <a:endParaRPr lang="zh-CN" sz="2000" b="0">
                  <a:latin typeface="黑体" panose="02010609060101010101" pitchFamily="49" charset="-122"/>
                  <a:ea typeface="黑体" panose="02010609060101010101" pitchFamily="49" charset="-122"/>
                </a:endParaRPr>
              </a:p>
            </c:rich>
          </c:tx>
          <c:layout>
            <c:manualLayout>
              <c:xMode val="edge"/>
              <c:yMode val="edge"/>
              <c:x val="0.0105507562393813"/>
              <c:y val="0.0181317668202639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905927264"/>
        <c:crosses val="autoZero"/>
        <c:auto val="1"/>
        <c:lblAlgn val="ctr"/>
        <c:lblOffset val="100"/>
        <c:noMultiLvlLbl val="0"/>
      </c:catAx>
      <c:valAx>
        <c:axId val="190592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905926784"/>
        <c:crosses val="autoZero"/>
        <c:crossBetween val="between"/>
      </c:valAx>
      <c:catAx>
        <c:axId val="19059320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905921984"/>
        <c:crosses val="autoZero"/>
        <c:auto val="1"/>
        <c:lblAlgn val="ctr"/>
        <c:lblOffset val="100"/>
        <c:noMultiLvlLbl val="0"/>
      </c:catAx>
      <c:valAx>
        <c:axId val="1905921984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190593206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e5cee23-363e-4ea6-ace2-4ca12f828aa5}"/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29000"/>
        </a:prstClr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工作表.xlsx]合并1!数据透视表4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2000">
                <a:latin typeface="黑体" panose="02010609060101010101" pitchFamily="49" charset="-122"/>
                <a:ea typeface="黑体" panose="02010609060101010101" pitchFamily="49" charset="-122"/>
              </a:rPr>
              <a:t>地区销售占比</a:t>
            </a:r>
            <a:endParaRPr lang="zh-CN" altLang="en-US" sz="2000"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0.231248990019469"/>
          <c:y val="0.044388071981375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合并1!$AD$16</c:f>
              <c:strCache>
                <c:ptCount val="1"/>
                <c:pt idx="0">
                  <c:v>汇总</c:v>
                </c:pt>
              </c:strCache>
            </c:strRef>
          </c:tx>
          <c:spPr/>
          <c:explosion val="8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合并1!$AC$17:$AC$24</c:f>
              <c:strCache>
                <c:ptCount val="7"/>
                <c:pt idx="0">
                  <c:v>华北</c:v>
                </c:pt>
                <c:pt idx="1">
                  <c:v>华东</c:v>
                </c:pt>
                <c:pt idx="2">
                  <c:v>华南</c:v>
                </c:pt>
                <c:pt idx="3">
                  <c:v>华中</c:v>
                </c:pt>
                <c:pt idx="4">
                  <c:v>西北</c:v>
                </c:pt>
                <c:pt idx="5">
                  <c:v>西南</c:v>
                </c:pt>
                <c:pt idx="6">
                  <c:v>(空白)</c:v>
                </c:pt>
              </c:strCache>
            </c:strRef>
          </c:cat>
          <c:val>
            <c:numRef>
              <c:f>合并1!$AD$17:$AD$24</c:f>
              <c:numCache>
                <c:formatCode>General</c:formatCode>
                <c:ptCount val="7"/>
                <c:pt idx="0">
                  <c:v>183906</c:v>
                </c:pt>
                <c:pt idx="1">
                  <c:v>200812</c:v>
                </c:pt>
                <c:pt idx="2">
                  <c:v>157873</c:v>
                </c:pt>
                <c:pt idx="3">
                  <c:v>102863</c:v>
                </c:pt>
                <c:pt idx="4">
                  <c:v>80101</c:v>
                </c:pt>
                <c:pt idx="5">
                  <c:v>97142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36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8eb497-4049-45d6-8436-6e837daa7ff4}"/>
      </c:ext>
    </c:extLst>
  </c:chart>
  <c:spPr>
    <a:solidFill>
      <a:schemeClr val="bg1"/>
    </a:solidFill>
    <a:ln w="9525" cap="flat" cmpd="sng" algn="ctr">
      <a:noFill/>
      <a:round/>
    </a:ln>
    <a:effectLst>
      <a:outerShdw blurRad="101600" dist="50800" dir="2700000" algn="tl" rotWithShape="0">
        <a:schemeClr val="bg1">
          <a:lumMod val="50000"/>
          <a:alpha val="40000"/>
        </a:schemeClr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工作表.xlsx]合并1!数据透视表3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0" i="0" u="none" strike="noStrike" kern="1200" baseline="0">
                <a:solidFill>
                  <a:schemeClr val="tx2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sz="2000" b="0">
                <a:latin typeface="黑体" panose="02010609060101010101" pitchFamily="49" charset="-122"/>
                <a:ea typeface="黑体" panose="02010609060101010101" pitchFamily="49" charset="-122"/>
              </a:rPr>
              <a:t>客户等级</a:t>
            </a:r>
            <a:r>
              <a:rPr lang="zh-CN" altLang="en-US" sz="2000" b="0">
                <a:latin typeface="黑体" panose="02010609060101010101" pitchFamily="49" charset="-122"/>
                <a:ea typeface="黑体" panose="02010609060101010101" pitchFamily="49" charset="-122"/>
              </a:rPr>
              <a:t>趋势</a:t>
            </a:r>
            <a:endParaRPr lang="zh-CN" sz="2000" b="0"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合并1!$AC$6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2520000"/>
                  </a:schemeClr>
                </a:gs>
                <a:gs pos="100000">
                  <a:schemeClr val="accent1"/>
                </a:gs>
              </a:gsLst>
              <a:lin ang="27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ash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合并1!$AB$7:$AB$11</c:f>
              <c:strCache>
                <c:ptCount val="4"/>
                <c:pt idx="0">
                  <c:v>VIP</c:v>
                </c:pt>
                <c:pt idx="1">
                  <c:v>普通</c:v>
                </c:pt>
                <c:pt idx="2">
                  <c:v>无</c:v>
                </c:pt>
                <c:pt idx="3">
                  <c:v>(空白)</c:v>
                </c:pt>
              </c:strCache>
            </c:strRef>
          </c:cat>
          <c:val>
            <c:numRef>
              <c:f>合并1!$AC$7:$AC$11</c:f>
              <c:numCache>
                <c:formatCode>General</c:formatCode>
                <c:ptCount val="4"/>
                <c:pt idx="0">
                  <c:v>225772</c:v>
                </c:pt>
                <c:pt idx="1">
                  <c:v>596256</c:v>
                </c:pt>
                <c:pt idx="2">
                  <c:v>669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13319216"/>
        <c:axId val="313324496"/>
      </c:barChart>
      <c:catAx>
        <c:axId val="313319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313324496"/>
        <c:crosses val="autoZero"/>
        <c:auto val="1"/>
        <c:lblAlgn val="ctr"/>
        <c:lblOffset val="100"/>
        <c:noMultiLvlLbl val="0"/>
      </c:catAx>
      <c:valAx>
        <c:axId val="31332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</a:p>
        </c:txPr>
        <c:crossAx val="313319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38aaf2f8-d393-4c2f-b5c4-978e7bf5bb6e}"/>
      </c:ext>
    </c:extLst>
  </c:chart>
  <c:spPr>
    <a:solidFill>
      <a:schemeClr val="bg1"/>
    </a:solidFill>
    <a:ln w="9525" cap="flat" cmpd="sng" algn="ctr">
      <a:noFill/>
      <a:round/>
    </a:ln>
    <a:effectLst>
      <a:outerShdw blurRad="101600" dist="50800" dir="2700000" algn="tl" rotWithShape="0">
        <a:schemeClr val="bg1">
          <a:lumMod val="50000"/>
          <a:alpha val="40000"/>
        </a:schemeClr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工作表.xlsx]合并1!数据透视表5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2000" b="0" i="0" u="none" strike="noStrike" kern="1200" cap="none" spc="20" baseline="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  <a:r>
              <a:rPr lang="zh-CN" sz="2000">
                <a:solidFill>
                  <a:sysClr val="windowText" lastClr="000000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月份汇总</a:t>
            </a:r>
            <a:endParaRPr lang="zh-CN" sz="2000">
              <a:solidFill>
                <a:sysClr val="windowText" lastClr="000000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c:rich>
      </c:tx>
      <c:layout>
        <c:manualLayout>
          <c:xMode val="edge"/>
          <c:yMode val="edge"/>
          <c:x val="0.00797222222222223"/>
          <c:y val="0.02314814814814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合并1!$Z$30</c:f>
              <c:strCache>
                <c:ptCount val="1"/>
                <c:pt idx="0">
                  <c:v>汇总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>
                  <a:lumMod val="75000"/>
                </a:schemeClr>
              </a:solidFill>
              <a:ln w="9525" cap="flat" cmpd="sng" algn="ctr">
                <a:noFill/>
                <a:round/>
              </a:ln>
              <a:effectLst/>
            </c:spPr>
          </c:marker>
          <c:dLbls>
            <c:delete val="1"/>
          </c:dLbls>
          <c:cat>
            <c:strRef>
              <c:f>合并1!$Y$31:$Y$42</c:f>
              <c:strCache>
                <c:ptCount val="11"/>
                <c:pt idx="0">
                  <c:v>&lt;2025/1/1</c:v>
                </c:pt>
                <c:pt idx="1">
                  <c:v>1月</c:v>
                </c:pt>
                <c:pt idx="2">
                  <c:v>2月</c:v>
                </c:pt>
                <c:pt idx="3">
                  <c:v>3月</c:v>
                </c:pt>
                <c:pt idx="4">
                  <c:v>4月</c:v>
                </c:pt>
                <c:pt idx="5">
                  <c:v>5月</c:v>
                </c:pt>
                <c:pt idx="6">
                  <c:v>6月</c:v>
                </c:pt>
                <c:pt idx="7">
                  <c:v>7月</c:v>
                </c:pt>
                <c:pt idx="8">
                  <c:v>8月</c:v>
                </c:pt>
                <c:pt idx="9">
                  <c:v>9月</c:v>
                </c:pt>
                <c:pt idx="10">
                  <c:v>10月</c:v>
                </c:pt>
              </c:strCache>
            </c:strRef>
          </c:cat>
          <c:val>
            <c:numRef>
              <c:f>合并1!$Z$31:$Z$42</c:f>
              <c:numCache>
                <c:formatCode>General</c:formatCode>
                <c:ptCount val="11"/>
                <c:pt idx="1">
                  <c:v>118032</c:v>
                </c:pt>
                <c:pt idx="2">
                  <c:v>78738</c:v>
                </c:pt>
                <c:pt idx="3">
                  <c:v>93117</c:v>
                </c:pt>
                <c:pt idx="4">
                  <c:v>83406</c:v>
                </c:pt>
                <c:pt idx="5">
                  <c:v>82540</c:v>
                </c:pt>
                <c:pt idx="6">
                  <c:v>75942</c:v>
                </c:pt>
                <c:pt idx="7">
                  <c:v>85629</c:v>
                </c:pt>
                <c:pt idx="8">
                  <c:v>89383</c:v>
                </c:pt>
                <c:pt idx="9">
                  <c:v>74012</c:v>
                </c:pt>
                <c:pt idx="10">
                  <c:v>41898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2">
                  <a:lumMod val="50000"/>
                  <a:alpha val="33000"/>
                </a:schemeClr>
              </a:solidFill>
              <a:round/>
            </a:ln>
            <a:effectLst/>
          </c:spPr>
        </c:dropLines>
        <c:marker val="1"/>
        <c:smooth val="1"/>
        <c:axId val="313326896"/>
        <c:axId val="313332656"/>
      </c:lineChart>
      <c:catAx>
        <c:axId val="31332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3332656"/>
        <c:crosses val="autoZero"/>
        <c:auto val="1"/>
        <c:lblAlgn val="ctr"/>
        <c:lblOffset val="100"/>
        <c:noMultiLvlLbl val="0"/>
      </c:catAx>
      <c:valAx>
        <c:axId val="313332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3326896"/>
        <c:crosses val="autoZero"/>
        <c:crossBetween val="between"/>
      </c:valAx>
      <c:spPr>
        <a:gradFill>
          <a:gsLst>
            <a:gs pos="0">
              <a:schemeClr val="bg1"/>
            </a:gs>
            <a:gs pos="98000">
              <a:schemeClr val="accent2">
                <a:lumMod val="20000"/>
                <a:lumOff val="80000"/>
              </a:schemeClr>
            </a:gs>
          </a:gsLst>
          <a:lin ang="5400000" scaled="1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7705e2f-1c7a-40fb-a5cb-e6699fd3a425}"/>
      </c:ext>
    </c:extLst>
  </c:chart>
  <c:spPr>
    <a:solidFill>
      <a:schemeClr val="lt1"/>
    </a:solidFill>
    <a:ln w="9525" cap="flat" cmpd="sng" algn="ctr">
      <a:noFill/>
      <a:round/>
    </a:ln>
    <a:effectLst>
      <a:outerShdw blurRad="101600" dist="50800" dir="2700000" algn="tl" rotWithShape="0">
        <a:schemeClr val="bg1">
          <a:lumMod val="50000"/>
          <a:alpha val="40000"/>
        </a:schemeClr>
      </a:outerShdw>
    </a:effectLst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181427</xdr:colOff>
      <xdr:row>27</xdr:row>
      <xdr:rowOff>72456</xdr:rowOff>
    </xdr:from>
    <xdr:to>
      <xdr:col>19</xdr:col>
      <xdr:colOff>167817</xdr:colOff>
      <xdr:row>56</xdr:row>
      <xdr:rowOff>90713</xdr:rowOff>
    </xdr:to>
    <xdr:graphicFrame>
      <xdr:nvGraphicFramePr>
        <xdr:cNvPr id="2" name="图表 1"/>
        <xdr:cNvGraphicFramePr/>
      </xdr:nvGraphicFramePr>
      <xdr:xfrm>
        <a:off x="2695575" y="4872990"/>
        <a:ext cx="9416415" cy="5173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346416</xdr:colOff>
      <xdr:row>27</xdr:row>
      <xdr:rowOff>72456</xdr:rowOff>
    </xdr:from>
    <xdr:to>
      <xdr:col>24</xdr:col>
      <xdr:colOff>226786</xdr:colOff>
      <xdr:row>42</xdr:row>
      <xdr:rowOff>90712</xdr:rowOff>
    </xdr:to>
    <xdr:graphicFrame>
      <xdr:nvGraphicFramePr>
        <xdr:cNvPr id="3" name="图表 2"/>
        <xdr:cNvGraphicFramePr/>
      </xdr:nvGraphicFramePr>
      <xdr:xfrm>
        <a:off x="12290425" y="4872990"/>
        <a:ext cx="3023870" cy="268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181427</xdr:colOff>
      <xdr:row>4</xdr:row>
      <xdr:rowOff>163282</xdr:rowOff>
    </xdr:from>
    <xdr:to>
      <xdr:col>28</xdr:col>
      <xdr:colOff>235859</xdr:colOff>
      <xdr:row>25</xdr:row>
      <xdr:rowOff>163172</xdr:rowOff>
    </xdr:to>
    <xdr:sp>
      <xdr:nvSpPr>
        <xdr:cNvPr id="4" name="矩形: 圆角 3"/>
        <xdr:cNvSpPr/>
      </xdr:nvSpPr>
      <xdr:spPr>
        <a:xfrm>
          <a:off x="2695575" y="874395"/>
          <a:ext cx="15142210" cy="3733165"/>
        </a:xfrm>
        <a:prstGeom prst="roundRect">
          <a:avLst>
            <a:gd name="adj" fmla="val 5970"/>
          </a:avLst>
        </a:prstGeom>
        <a:solidFill>
          <a:schemeClr val="bg1"/>
        </a:solidFill>
        <a:effectLst>
          <a:outerShdw blurRad="50800" dist="38100" dir="2700000" algn="tl" rotWithShape="0">
            <a:prstClr val="black">
              <a:alpha val="17000"/>
            </a:prstClr>
          </a:outerShdw>
        </a:effectLst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133803</xdr:colOff>
      <xdr:row>6</xdr:row>
      <xdr:rowOff>39004</xdr:rowOff>
    </xdr:from>
    <xdr:to>
      <xdr:col>9</xdr:col>
      <xdr:colOff>6801</xdr:colOff>
      <xdr:row>8</xdr:row>
      <xdr:rowOff>154215</xdr:rowOff>
    </xdr:to>
    <xdr:sp>
      <xdr:nvSpPr>
        <xdr:cNvPr id="5" name="文本框 4"/>
        <xdr:cNvSpPr txBox="1"/>
      </xdr:nvSpPr>
      <xdr:spPr>
        <a:xfrm>
          <a:off x="3905250" y="1105535"/>
          <a:ext cx="1758950" cy="470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>
              <a:solidFill>
                <a:schemeClr val="bg1">
                  <a:lumMod val="6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全年销售总额</a:t>
          </a:r>
          <a:endParaRPr lang="zh-CN" altLang="en-US" sz="2000">
            <a:solidFill>
              <a:schemeClr val="bg1">
                <a:lumMod val="65000"/>
              </a:schemeClr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5</xdr:col>
      <xdr:colOff>240392</xdr:colOff>
      <xdr:row>8</xdr:row>
      <xdr:rowOff>152400</xdr:rowOff>
    </xdr:from>
    <xdr:to>
      <xdr:col>9</xdr:col>
      <xdr:colOff>526141</xdr:colOff>
      <xdr:row>13</xdr:row>
      <xdr:rowOff>9069</xdr:rowOff>
    </xdr:to>
    <xdr:sp textlink="合并1!O26">
      <xdr:nvSpPr>
        <xdr:cNvPr id="6" name="文本框 5"/>
        <xdr:cNvSpPr txBox="1"/>
      </xdr:nvSpPr>
      <xdr:spPr>
        <a:xfrm>
          <a:off x="3383280" y="1574800"/>
          <a:ext cx="2800350" cy="745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BD323DD-1CE0-4554-9126-05D44159BEEB}" type="TxLink">
            <a:rPr lang="en-US" altLang="en-US" sz="4000" b="0" i="0" u="none" strike="noStrike">
              <a:solidFill>
                <a:schemeClr val="accent6">
                  <a:lumMod val="7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822,697.00 </a:t>
          </a:fld>
          <a:endParaRPr lang="zh-CN" altLang="en-US" sz="4000">
            <a:solidFill>
              <a:schemeClr val="accent6">
                <a:lumMod val="75000"/>
              </a:schemeClr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4</xdr:col>
      <xdr:colOff>473983</xdr:colOff>
      <xdr:row>16</xdr:row>
      <xdr:rowOff>136069</xdr:rowOff>
    </xdr:from>
    <xdr:to>
      <xdr:col>8</xdr:col>
      <xdr:colOff>170089</xdr:colOff>
      <xdr:row>24</xdr:row>
      <xdr:rowOff>99786</xdr:rowOff>
    </xdr:to>
    <xdr:grpSp>
      <xdr:nvGrpSpPr>
        <xdr:cNvPr id="57" name="组合 56"/>
        <xdr:cNvGrpSpPr/>
      </xdr:nvGrpSpPr>
      <xdr:grpSpPr>
        <a:xfrm>
          <a:off x="2988310" y="2980690"/>
          <a:ext cx="2210435" cy="1386205"/>
          <a:chOff x="2351769" y="2213427"/>
          <a:chExt cx="2199820" cy="1415145"/>
        </a:xfrm>
      </xdr:grpSpPr>
      <xdr:sp textlink="合并1!O28">
        <xdr:nvSpPr>
          <xdr:cNvPr id="9" name="文本框 8"/>
          <xdr:cNvSpPr txBox="1"/>
        </xdr:nvSpPr>
        <xdr:spPr>
          <a:xfrm>
            <a:off x="2351769" y="3046189"/>
            <a:ext cx="2199820" cy="5823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4048D90-2F70-4204-BD3D-E6EC11F41022}" type="TxLink">
              <a:rPr lang="en-US" altLang="en-US" sz="3000" b="1" i="0" u="none" strike="noStrike">
                <a:solidFill>
                  <a:schemeClr val="accent2">
                    <a:lumMod val="7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183,906.00 </a:t>
            </a:fld>
            <a:endParaRPr lang="zh-CN" altLang="en-US" sz="3000" b="1" i="0" u="none" strike="noStrike">
              <a:solidFill>
                <a:schemeClr val="accent2">
                  <a:lumMod val="7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28">
        <xdr:nvSpPr>
          <xdr:cNvPr id="10" name="文本框 9"/>
          <xdr:cNvSpPr txBox="1"/>
        </xdr:nvSpPr>
        <xdr:spPr>
          <a:xfrm>
            <a:off x="2955018" y="2213427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467711B-5C35-4E16-9128-A0D50066C4BA}" type="TxLink">
              <a:rPr lang="zh-CN" altLang="en-US" sz="2800" b="0" i="0" u="none" strike="noStrike">
                <a:solidFill>
                  <a:schemeClr val="accent2">
                    <a:lumMod val="7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华北</a:t>
            </a:fld>
            <a:endParaRPr lang="zh-CN" altLang="en-US" sz="2800" b="0" i="0" u="none" strike="noStrike">
              <a:solidFill>
                <a:schemeClr val="accent2">
                  <a:lumMod val="7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  <xdr:sp>
        <xdr:nvSpPr>
          <xdr:cNvPr id="11" name="文本框 10"/>
          <xdr:cNvSpPr txBox="1"/>
        </xdr:nvSpPr>
        <xdr:spPr>
          <a:xfrm>
            <a:off x="2708275" y="2674249"/>
            <a:ext cx="1462314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600">
                <a:solidFill>
                  <a:schemeClr val="bg1">
                    <a:lumMod val="8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地区销售总额</a:t>
            </a:r>
            <a:endParaRPr lang="zh-CN" altLang="en-US" sz="1600">
              <a:solidFill>
                <a:schemeClr val="bg1">
                  <a:lumMod val="8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</xdr:grpSp>
    <xdr:clientData/>
  </xdr:twoCellAnchor>
  <xdr:twoCellAnchor>
    <xdr:from>
      <xdr:col>8</xdr:col>
      <xdr:colOff>469902</xdr:colOff>
      <xdr:row>16</xdr:row>
      <xdr:rowOff>136069</xdr:rowOff>
    </xdr:from>
    <xdr:to>
      <xdr:col>12</xdr:col>
      <xdr:colOff>166008</xdr:colOff>
      <xdr:row>24</xdr:row>
      <xdr:rowOff>99786</xdr:rowOff>
    </xdr:to>
    <xdr:grpSp>
      <xdr:nvGrpSpPr>
        <xdr:cNvPr id="56" name="组合 55"/>
        <xdr:cNvGrpSpPr/>
      </xdr:nvGrpSpPr>
      <xdr:grpSpPr>
        <a:xfrm>
          <a:off x="5499100" y="2980690"/>
          <a:ext cx="2210435" cy="1386205"/>
          <a:chOff x="5637893" y="2347675"/>
          <a:chExt cx="2199820" cy="1415145"/>
        </a:xfrm>
      </xdr:grpSpPr>
      <xdr:sp textlink="合并1!O29">
        <xdr:nvSpPr>
          <xdr:cNvPr id="14" name="文本框 13"/>
          <xdr:cNvSpPr txBox="1"/>
        </xdr:nvSpPr>
        <xdr:spPr>
          <a:xfrm>
            <a:off x="5637893" y="3180437"/>
            <a:ext cx="2199820" cy="5823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266EA7AA-DB2A-4FEB-9996-05AFA9454CEE}" type="TxLink">
              <a:rPr lang="en-US" altLang="en-US" sz="3000" b="1" i="0" u="none" strike="noStrike">
                <a:solidFill>
                  <a:schemeClr val="accent3">
                    <a:lumMod val="7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200,812.00 </a:t>
            </a:fld>
            <a:endParaRPr lang="zh-CN" altLang="en-US" sz="3000" b="1" i="0" u="none" strike="noStrike">
              <a:solidFill>
                <a:schemeClr val="accent3">
                  <a:lumMod val="7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29">
        <xdr:nvSpPr>
          <xdr:cNvPr id="15" name="文本框 14"/>
          <xdr:cNvSpPr txBox="1"/>
        </xdr:nvSpPr>
        <xdr:spPr>
          <a:xfrm>
            <a:off x="6241142" y="2347675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309B12A2-F386-43A5-ACE3-132C35608C69}" type="TxLink">
              <a:rPr lang="zh-CN" altLang="en-US" sz="2800" b="0" i="0" u="none" strike="noStrike">
                <a:solidFill>
                  <a:schemeClr val="accent3">
                    <a:lumMod val="7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华东</a:t>
            </a:fld>
            <a:endParaRPr lang="zh-CN" altLang="en-US" sz="2800" b="0" i="0" u="none" strike="noStrike">
              <a:solidFill>
                <a:schemeClr val="accent3">
                  <a:lumMod val="7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>
        <xdr:nvSpPr>
          <xdr:cNvPr id="16" name="文本框 15"/>
          <xdr:cNvSpPr txBox="1"/>
        </xdr:nvSpPr>
        <xdr:spPr>
          <a:xfrm>
            <a:off x="5994399" y="2808497"/>
            <a:ext cx="1444172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600">
                <a:solidFill>
                  <a:schemeClr val="bg1">
                    <a:lumMod val="8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地区销售总额</a:t>
            </a:r>
            <a:endParaRPr lang="zh-CN" altLang="en-US" sz="1600">
              <a:solidFill>
                <a:schemeClr val="bg1">
                  <a:lumMod val="8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</xdr:grpSp>
    <xdr:clientData/>
  </xdr:twoCellAnchor>
  <xdr:twoCellAnchor>
    <xdr:from>
      <xdr:col>12</xdr:col>
      <xdr:colOff>465821</xdr:colOff>
      <xdr:row>16</xdr:row>
      <xdr:rowOff>136069</xdr:rowOff>
    </xdr:from>
    <xdr:to>
      <xdr:col>16</xdr:col>
      <xdr:colOff>161926</xdr:colOff>
      <xdr:row>24</xdr:row>
      <xdr:rowOff>99786</xdr:rowOff>
    </xdr:to>
    <xdr:grpSp>
      <xdr:nvGrpSpPr>
        <xdr:cNvPr id="58" name="组合 57"/>
        <xdr:cNvGrpSpPr/>
      </xdr:nvGrpSpPr>
      <xdr:grpSpPr>
        <a:xfrm>
          <a:off x="8009255" y="2980690"/>
          <a:ext cx="2211070" cy="1386205"/>
          <a:chOff x="9377024" y="2358571"/>
          <a:chExt cx="2199820" cy="1415145"/>
        </a:xfrm>
      </xdr:grpSpPr>
      <xdr:sp textlink="合并1!O30">
        <xdr:nvSpPr>
          <xdr:cNvPr id="19" name="文本框 18"/>
          <xdr:cNvSpPr txBox="1"/>
        </xdr:nvSpPr>
        <xdr:spPr>
          <a:xfrm>
            <a:off x="9377024" y="3191333"/>
            <a:ext cx="2199820" cy="5823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4BB84A6-F467-478E-861C-90407D69297F}" type="TxLink">
              <a:rPr lang="en-US" altLang="en-US" sz="3000" b="1" i="0" u="none" strike="noStrike">
                <a:solidFill>
                  <a:schemeClr val="accent4">
                    <a:lumMod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157,873.00 </a:t>
            </a:fld>
            <a:endParaRPr lang="zh-CN" altLang="en-US" sz="3000" b="1" i="0" u="none" strike="noStrike">
              <a:solidFill>
                <a:schemeClr val="accent4">
                  <a:lumMod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30">
        <xdr:nvSpPr>
          <xdr:cNvPr id="20" name="文本框 19"/>
          <xdr:cNvSpPr txBox="1"/>
        </xdr:nvSpPr>
        <xdr:spPr>
          <a:xfrm>
            <a:off x="9980273" y="2358571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D7F01DA-EC62-4B9D-9AD7-52AA3B6D7043}" type="TxLink">
              <a:rPr lang="zh-CN" altLang="en-US" sz="2800" b="0" i="0" u="none" strike="noStrike">
                <a:solidFill>
                  <a:schemeClr val="accent4">
                    <a:lumMod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华南</a:t>
            </a:fld>
            <a:endParaRPr lang="zh-CN" altLang="en-US" sz="2800" b="0" i="0" u="none" strike="noStrike">
              <a:solidFill>
                <a:schemeClr val="accent4">
                  <a:lumMod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>
        <xdr:nvSpPr>
          <xdr:cNvPr id="21" name="文本框 20"/>
          <xdr:cNvSpPr txBox="1"/>
        </xdr:nvSpPr>
        <xdr:spPr>
          <a:xfrm>
            <a:off x="9733529" y="2819393"/>
            <a:ext cx="1426029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zh-CN" altLang="en-US" sz="1600">
                <a:solidFill>
                  <a:schemeClr val="bg1">
                    <a:lumMod val="8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地区销售总额</a:t>
            </a:r>
            <a:endParaRPr lang="zh-CN" altLang="en-US" sz="1600">
              <a:solidFill>
                <a:schemeClr val="bg1">
                  <a:lumMod val="8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</xdr:grpSp>
    <xdr:clientData/>
  </xdr:twoCellAnchor>
  <xdr:twoCellAnchor>
    <xdr:from>
      <xdr:col>16</xdr:col>
      <xdr:colOff>461739</xdr:colOff>
      <xdr:row>16</xdr:row>
      <xdr:rowOff>136069</xdr:rowOff>
    </xdr:from>
    <xdr:to>
      <xdr:col>20</xdr:col>
      <xdr:colOff>157845</xdr:colOff>
      <xdr:row>24</xdr:row>
      <xdr:rowOff>99786</xdr:rowOff>
    </xdr:to>
    <xdr:grpSp>
      <xdr:nvGrpSpPr>
        <xdr:cNvPr id="59" name="组合 58"/>
        <xdr:cNvGrpSpPr/>
      </xdr:nvGrpSpPr>
      <xdr:grpSpPr>
        <a:xfrm>
          <a:off x="10520045" y="2980690"/>
          <a:ext cx="2210435" cy="1386205"/>
          <a:chOff x="11214555" y="2358571"/>
          <a:chExt cx="2199820" cy="1415145"/>
        </a:xfrm>
      </xdr:grpSpPr>
      <xdr:sp textlink="合并1!O31">
        <xdr:nvSpPr>
          <xdr:cNvPr id="24" name="文本框 23"/>
          <xdr:cNvSpPr txBox="1"/>
        </xdr:nvSpPr>
        <xdr:spPr>
          <a:xfrm>
            <a:off x="11214555" y="3191334"/>
            <a:ext cx="2199820" cy="582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D4311C8-1230-455D-9723-BA288940B5DA}" type="TxLink">
              <a:rPr lang="en-US" altLang="en-US" sz="3000" b="1" i="0" u="none" strike="noStrike">
                <a:solidFill>
                  <a:schemeClr val="accent5">
                    <a:lumMod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97,142.00 </a:t>
            </a:fld>
            <a:endParaRPr lang="zh-CN" altLang="en-US" sz="3000" b="1" i="0" u="none" strike="noStrike">
              <a:solidFill>
                <a:schemeClr val="accent5">
                  <a:lumMod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31">
        <xdr:nvSpPr>
          <xdr:cNvPr id="25" name="文本框 24"/>
          <xdr:cNvSpPr txBox="1"/>
        </xdr:nvSpPr>
        <xdr:spPr>
          <a:xfrm>
            <a:off x="11817804" y="2358571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0464331B-1056-4F84-AA36-5D5B2C41EFC7}" type="TxLink">
              <a:rPr lang="zh-CN" altLang="en-US" sz="2800" b="0" i="0" u="none" strike="noStrike">
                <a:solidFill>
                  <a:schemeClr val="accent4">
                    <a:lumMod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西南</a:t>
            </a:fld>
            <a:endParaRPr lang="zh-CN" altLang="en-US" sz="2800" b="0" i="0" u="none" strike="noStrike">
              <a:solidFill>
                <a:schemeClr val="accent4">
                  <a:lumMod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>
        <xdr:nvSpPr>
          <xdr:cNvPr id="26" name="文本框 25"/>
          <xdr:cNvSpPr txBox="1"/>
        </xdr:nvSpPr>
        <xdr:spPr>
          <a:xfrm>
            <a:off x="11571060" y="2819393"/>
            <a:ext cx="1471385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zh-CN" altLang="en-US" sz="1600">
                <a:solidFill>
                  <a:schemeClr val="bg1">
                    <a:lumMod val="8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地区销售总额</a:t>
            </a:r>
            <a:endParaRPr lang="zh-CN" altLang="en-US" sz="1600">
              <a:solidFill>
                <a:schemeClr val="bg1">
                  <a:lumMod val="8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</xdr:grpSp>
    <xdr:clientData/>
  </xdr:twoCellAnchor>
  <xdr:twoCellAnchor>
    <xdr:from>
      <xdr:col>20</xdr:col>
      <xdr:colOff>457658</xdr:colOff>
      <xdr:row>16</xdr:row>
      <xdr:rowOff>136069</xdr:rowOff>
    </xdr:from>
    <xdr:to>
      <xdr:col>24</xdr:col>
      <xdr:colOff>153764</xdr:colOff>
      <xdr:row>24</xdr:row>
      <xdr:rowOff>99785</xdr:rowOff>
    </xdr:to>
    <xdr:grpSp>
      <xdr:nvGrpSpPr>
        <xdr:cNvPr id="60" name="组合 59"/>
        <xdr:cNvGrpSpPr/>
      </xdr:nvGrpSpPr>
      <xdr:grpSpPr>
        <a:xfrm>
          <a:off x="13030200" y="2980690"/>
          <a:ext cx="2211070" cy="1386205"/>
          <a:chOff x="12978946" y="2213427"/>
          <a:chExt cx="2199820" cy="1415144"/>
        </a:xfrm>
      </xdr:grpSpPr>
      <xdr:sp textlink="合并1!O32">
        <xdr:nvSpPr>
          <xdr:cNvPr id="29" name="文本框 28"/>
          <xdr:cNvSpPr txBox="1"/>
        </xdr:nvSpPr>
        <xdr:spPr>
          <a:xfrm>
            <a:off x="12978946" y="3046188"/>
            <a:ext cx="2199820" cy="58238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08DF472-BBAB-45C5-AD4E-F25BEE086FA4}" type="TxLink">
              <a:rPr lang="en-US" altLang="en-US" sz="3000" b="1" i="0" u="none" strike="noStrike">
                <a:solidFill>
                  <a:schemeClr val="accent6">
                    <a:lumMod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102,863.00 </a:t>
            </a:fld>
            <a:endParaRPr lang="zh-CN" altLang="en-US" sz="3000" b="1" i="0" u="none" strike="noStrike">
              <a:solidFill>
                <a:schemeClr val="accent6">
                  <a:lumMod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32">
        <xdr:nvSpPr>
          <xdr:cNvPr id="30" name="文本框 29"/>
          <xdr:cNvSpPr txBox="1"/>
        </xdr:nvSpPr>
        <xdr:spPr>
          <a:xfrm>
            <a:off x="13582195" y="2213427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7F3EEF8-9FD6-4F90-94B7-6E3E43195FDA}" type="TxLink">
              <a:rPr lang="zh-CN" altLang="en-US" sz="2800" b="0" i="0" u="none" strike="noStrike">
                <a:solidFill>
                  <a:schemeClr val="accent6">
                    <a:lumMod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华中</a:t>
            </a:fld>
            <a:endParaRPr lang="zh-CN" altLang="en-US" sz="2800" b="0" i="0" u="none" strike="noStrike">
              <a:solidFill>
                <a:schemeClr val="accent6">
                  <a:lumMod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>
        <xdr:nvSpPr>
          <xdr:cNvPr id="31" name="文本框 30"/>
          <xdr:cNvSpPr txBox="1"/>
        </xdr:nvSpPr>
        <xdr:spPr>
          <a:xfrm>
            <a:off x="13335452" y="2674249"/>
            <a:ext cx="1435100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zh-CN" altLang="en-US" sz="1600">
                <a:solidFill>
                  <a:schemeClr val="bg1">
                    <a:lumMod val="8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地区销售总额</a:t>
            </a:r>
            <a:endParaRPr lang="zh-CN" altLang="en-US" sz="1600">
              <a:solidFill>
                <a:schemeClr val="bg1">
                  <a:lumMod val="8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</xdr:grpSp>
    <xdr:clientData/>
  </xdr:twoCellAnchor>
  <xdr:twoCellAnchor>
    <xdr:from>
      <xdr:col>24</xdr:col>
      <xdr:colOff>453575</xdr:colOff>
      <xdr:row>16</xdr:row>
      <xdr:rowOff>136069</xdr:rowOff>
    </xdr:from>
    <xdr:to>
      <xdr:col>28</xdr:col>
      <xdr:colOff>149681</xdr:colOff>
      <xdr:row>24</xdr:row>
      <xdr:rowOff>99785</xdr:rowOff>
    </xdr:to>
    <xdr:grpSp>
      <xdr:nvGrpSpPr>
        <xdr:cNvPr id="61" name="组合 60"/>
        <xdr:cNvGrpSpPr/>
      </xdr:nvGrpSpPr>
      <xdr:grpSpPr>
        <a:xfrm>
          <a:off x="15540990" y="2980690"/>
          <a:ext cx="2210435" cy="1386205"/>
          <a:chOff x="15153823" y="2304140"/>
          <a:chExt cx="2199820" cy="1415144"/>
        </a:xfrm>
      </xdr:grpSpPr>
      <xdr:sp textlink="合并1!O33">
        <xdr:nvSpPr>
          <xdr:cNvPr id="34" name="文本框 33"/>
          <xdr:cNvSpPr txBox="1"/>
        </xdr:nvSpPr>
        <xdr:spPr>
          <a:xfrm>
            <a:off x="15153823" y="3136902"/>
            <a:ext cx="2199820" cy="5823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2459952-4808-4296-82C8-D3ACE1B9723A}" type="TxLink">
              <a:rPr lang="en-US" altLang="en-US" sz="3000" b="1" i="0" u="none" strike="noStrike">
                <a:solidFill>
                  <a:schemeClr val="accent1">
                    <a:lumMod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80,101.00 </a:t>
            </a:fld>
            <a:endParaRPr lang="zh-CN" altLang="en-US" sz="3000" b="1" i="0" u="none" strike="noStrike">
              <a:solidFill>
                <a:schemeClr val="accent1">
                  <a:lumMod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33">
        <xdr:nvSpPr>
          <xdr:cNvPr id="35" name="文本框 34"/>
          <xdr:cNvSpPr txBox="1"/>
        </xdr:nvSpPr>
        <xdr:spPr>
          <a:xfrm>
            <a:off x="15757072" y="2304140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D9DD0ED-6091-400F-853E-C7344F6E9C5A}" type="TxLink">
              <a:rPr lang="zh-CN" altLang="en-US" sz="2800" b="0" i="0" u="none" strike="noStrike">
                <a:solidFill>
                  <a:schemeClr val="accent1">
                    <a:lumMod val="50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西北</a:t>
            </a:fld>
            <a:endParaRPr lang="zh-CN" altLang="en-US" sz="2800" b="0" i="0" u="none" strike="noStrike">
              <a:solidFill>
                <a:schemeClr val="accent1">
                  <a:lumMod val="50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>
        <xdr:nvSpPr>
          <xdr:cNvPr id="36" name="文本框 35"/>
          <xdr:cNvSpPr txBox="1"/>
        </xdr:nvSpPr>
        <xdr:spPr>
          <a:xfrm>
            <a:off x="15510328" y="2764962"/>
            <a:ext cx="1444171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zh-CN" altLang="en-US" sz="1600">
                <a:solidFill>
                  <a:schemeClr val="bg1">
                    <a:lumMod val="8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地区销售总额</a:t>
            </a:r>
            <a:endParaRPr lang="zh-CN" altLang="en-US" sz="1600">
              <a:solidFill>
                <a:schemeClr val="bg1">
                  <a:lumMod val="8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</xdr:grpSp>
    <xdr:clientData/>
  </xdr:twoCellAnchor>
  <xdr:twoCellAnchor>
    <xdr:from>
      <xdr:col>13</xdr:col>
      <xdr:colOff>596447</xdr:colOff>
      <xdr:row>6</xdr:row>
      <xdr:rowOff>39004</xdr:rowOff>
    </xdr:from>
    <xdr:to>
      <xdr:col>17</xdr:col>
      <xdr:colOff>260803</xdr:colOff>
      <xdr:row>8</xdr:row>
      <xdr:rowOff>127001</xdr:rowOff>
    </xdr:to>
    <xdr:sp>
      <xdr:nvSpPr>
        <xdr:cNvPr id="37" name="文本框 36"/>
        <xdr:cNvSpPr txBox="1"/>
      </xdr:nvSpPr>
      <xdr:spPr>
        <a:xfrm>
          <a:off x="8768715" y="1105535"/>
          <a:ext cx="2178685" cy="443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000">
              <a:solidFill>
                <a:schemeClr val="bg1">
                  <a:lumMod val="6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VIP</a:t>
          </a:r>
          <a:r>
            <a:rPr lang="zh-CN" altLang="en-US" sz="2000">
              <a:solidFill>
                <a:schemeClr val="bg1">
                  <a:lumMod val="6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客户销售总额</a:t>
          </a:r>
          <a:endParaRPr lang="zh-CN" altLang="en-US" sz="2000">
            <a:solidFill>
              <a:schemeClr val="bg1">
                <a:lumMod val="65000"/>
              </a:schemeClr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13</xdr:col>
      <xdr:colOff>285750</xdr:colOff>
      <xdr:row>8</xdr:row>
      <xdr:rowOff>152400</xdr:rowOff>
    </xdr:from>
    <xdr:to>
      <xdr:col>17</xdr:col>
      <xdr:colOff>571500</xdr:colOff>
      <xdr:row>13</xdr:row>
      <xdr:rowOff>9069</xdr:rowOff>
    </xdr:to>
    <xdr:sp textlink="合并1!O36">
      <xdr:nvSpPr>
        <xdr:cNvPr id="38" name="文本框 37"/>
        <xdr:cNvSpPr txBox="1"/>
      </xdr:nvSpPr>
      <xdr:spPr>
        <a:xfrm>
          <a:off x="8458200" y="1574800"/>
          <a:ext cx="2800350" cy="745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29AD9D2-B7B2-4F79-AECC-5432DBCEB2D4}" type="TxLink">
            <a:rPr lang="en-US" altLang="en-US" sz="4000" b="0" i="0" u="none" strike="noStrike">
              <a:solidFill>
                <a:schemeClr val="accent4">
                  <a:lumMod val="7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rPr>
            <a:t>225,772.00 </a:t>
          </a:fld>
          <a:endParaRPr lang="zh-CN" altLang="en-US" sz="4000" b="0" i="0" u="none" strike="noStrike">
            <a:solidFill>
              <a:schemeClr val="accent4">
                <a:lumMod val="75000"/>
              </a:schemeClr>
            </a:solidFill>
            <a:latin typeface="黑体" panose="02010609060101010101" pitchFamily="49" charset="-122"/>
            <a:ea typeface="黑体" panose="02010609060101010101" pitchFamily="49" charset="-122"/>
            <a:cs typeface="+mn-cs"/>
          </a:endParaRPr>
        </a:p>
      </xdr:txBody>
    </xdr:sp>
    <xdr:clientData/>
  </xdr:twoCellAnchor>
  <xdr:twoCellAnchor>
    <xdr:from>
      <xdr:col>22</xdr:col>
      <xdr:colOff>269875</xdr:colOff>
      <xdr:row>6</xdr:row>
      <xdr:rowOff>39004</xdr:rowOff>
    </xdr:from>
    <xdr:to>
      <xdr:col>26</xdr:col>
      <xdr:colOff>15875</xdr:colOff>
      <xdr:row>8</xdr:row>
      <xdr:rowOff>127001</xdr:rowOff>
    </xdr:to>
    <xdr:sp>
      <xdr:nvSpPr>
        <xdr:cNvPr id="39" name="文本框 38"/>
        <xdr:cNvSpPr txBox="1"/>
      </xdr:nvSpPr>
      <xdr:spPr>
        <a:xfrm>
          <a:off x="14100175" y="1105535"/>
          <a:ext cx="2260600" cy="443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>
              <a:solidFill>
                <a:schemeClr val="bg1">
                  <a:lumMod val="6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普通客户销售总额</a:t>
          </a:r>
          <a:endParaRPr lang="zh-CN" altLang="en-US" sz="2000">
            <a:solidFill>
              <a:schemeClr val="bg1">
                <a:lumMod val="65000"/>
              </a:schemeClr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22</xdr:col>
      <xdr:colOff>0</xdr:colOff>
      <xdr:row>8</xdr:row>
      <xdr:rowOff>152400</xdr:rowOff>
    </xdr:from>
    <xdr:to>
      <xdr:col>26</xdr:col>
      <xdr:colOff>285750</xdr:colOff>
      <xdr:row>13</xdr:row>
      <xdr:rowOff>9069</xdr:rowOff>
    </xdr:to>
    <xdr:sp textlink="合并1!O37">
      <xdr:nvSpPr>
        <xdr:cNvPr id="40" name="文本框 39"/>
        <xdr:cNvSpPr txBox="1"/>
      </xdr:nvSpPr>
      <xdr:spPr>
        <a:xfrm>
          <a:off x="13830300" y="1574800"/>
          <a:ext cx="2800350" cy="745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C47D6DC-B504-47B0-AC9B-29E847EDB242}" type="TxLink">
            <a:rPr lang="en-US" altLang="en-US" sz="4000" b="0" i="0" u="none" strike="noStrike">
              <a:solidFill>
                <a:schemeClr val="accent2">
                  <a:lumMod val="7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rPr>
            <a:t>596,256.00 </a:t>
          </a:fld>
          <a:endParaRPr lang="zh-CN" altLang="en-US" sz="4000" b="0" i="0" u="none" strike="noStrike">
            <a:solidFill>
              <a:schemeClr val="accent2">
                <a:lumMod val="75000"/>
              </a:schemeClr>
            </a:solidFill>
            <a:latin typeface="黑体" panose="02010609060101010101" pitchFamily="49" charset="-122"/>
            <a:ea typeface="黑体" panose="02010609060101010101" pitchFamily="49" charset="-122"/>
            <a:cs typeface="+mn-cs"/>
          </a:endParaRPr>
        </a:p>
      </xdr:txBody>
    </xdr:sp>
    <xdr:clientData/>
  </xdr:twoCellAnchor>
  <xdr:twoCellAnchor>
    <xdr:from>
      <xdr:col>11</xdr:col>
      <xdr:colOff>0</xdr:colOff>
      <xdr:row>8</xdr:row>
      <xdr:rowOff>54427</xdr:rowOff>
    </xdr:from>
    <xdr:to>
      <xdr:col>11</xdr:col>
      <xdr:colOff>0</xdr:colOff>
      <xdr:row>10</xdr:row>
      <xdr:rowOff>108855</xdr:rowOff>
    </xdr:to>
    <xdr:cxnSp>
      <xdr:nvCxnSpPr>
        <xdr:cNvPr id="41" name="直接连接符 40"/>
        <xdr:cNvCxnSpPr/>
      </xdr:nvCxnSpPr>
      <xdr:spPr>
        <a:xfrm>
          <a:off x="6915150" y="1476375"/>
          <a:ext cx="0" cy="410210"/>
        </a:xfrm>
        <a:prstGeom prst="line">
          <a:avLst/>
        </a:prstGeom>
        <a:ln w="25400">
          <a:solidFill>
            <a:schemeClr val="bg1">
              <a:lumMod val="65000"/>
              <a:alpha val="49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616858</xdr:colOff>
      <xdr:row>8</xdr:row>
      <xdr:rowOff>54427</xdr:rowOff>
    </xdr:from>
    <xdr:to>
      <xdr:col>19</xdr:col>
      <xdr:colOff>616858</xdr:colOff>
      <xdr:row>10</xdr:row>
      <xdr:rowOff>108855</xdr:rowOff>
    </xdr:to>
    <xdr:cxnSp>
      <xdr:nvCxnSpPr>
        <xdr:cNvPr id="42" name="直接连接符 41"/>
        <xdr:cNvCxnSpPr/>
      </xdr:nvCxnSpPr>
      <xdr:spPr>
        <a:xfrm>
          <a:off x="12560935" y="1476375"/>
          <a:ext cx="0" cy="410210"/>
        </a:xfrm>
        <a:prstGeom prst="line">
          <a:avLst/>
        </a:prstGeom>
        <a:ln w="25400">
          <a:solidFill>
            <a:schemeClr val="bg1">
              <a:lumMod val="65000"/>
              <a:alpha val="49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458111</xdr:colOff>
      <xdr:row>27</xdr:row>
      <xdr:rowOff>90713</xdr:rowOff>
    </xdr:from>
    <xdr:to>
      <xdr:col>28</xdr:col>
      <xdr:colOff>235858</xdr:colOff>
      <xdr:row>42</xdr:row>
      <xdr:rowOff>90712</xdr:rowOff>
    </xdr:to>
    <xdr:graphicFrame>
      <xdr:nvGraphicFramePr>
        <xdr:cNvPr id="43" name="图表 42"/>
        <xdr:cNvGraphicFramePr/>
      </xdr:nvGraphicFramePr>
      <xdr:xfrm>
        <a:off x="15545435" y="4890770"/>
        <a:ext cx="229235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362858</xdr:colOff>
      <xdr:row>43</xdr:row>
      <xdr:rowOff>90714</xdr:rowOff>
    </xdr:from>
    <xdr:to>
      <xdr:col>28</xdr:col>
      <xdr:colOff>235859</xdr:colOff>
      <xdr:row>56</xdr:row>
      <xdr:rowOff>90714</xdr:rowOff>
    </xdr:to>
    <xdr:graphicFrame>
      <xdr:nvGraphicFramePr>
        <xdr:cNvPr id="44" name="图表 43"/>
        <xdr:cNvGraphicFramePr/>
      </xdr:nvGraphicFramePr>
      <xdr:xfrm>
        <a:off x="12306935" y="7735570"/>
        <a:ext cx="5530850" cy="231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43</xdr:row>
      <xdr:rowOff>142878</xdr:rowOff>
    </xdr:from>
    <xdr:to>
      <xdr:col>3</xdr:col>
      <xdr:colOff>576943</xdr:colOff>
      <xdr:row>56</xdr:row>
      <xdr:rowOff>117928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5" name="客户名称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客户名称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" y="7788275"/>
              <a:ext cx="1833880" cy="228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23</xdr:row>
      <xdr:rowOff>90714</xdr:rowOff>
    </xdr:from>
    <xdr:to>
      <xdr:col>3</xdr:col>
      <xdr:colOff>576943</xdr:colOff>
      <xdr:row>43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6" name="订单日期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订单日期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" y="4179570"/>
              <a:ext cx="1833880" cy="34658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4</xdr:row>
      <xdr:rowOff>38562</xdr:rowOff>
    </xdr:from>
    <xdr:to>
      <xdr:col>3</xdr:col>
      <xdr:colOff>576943</xdr:colOff>
      <xdr:row>10</xdr:row>
      <xdr:rowOff>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7" name="客户等级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客户等级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" y="749300"/>
              <a:ext cx="1833880" cy="102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10</xdr:row>
      <xdr:rowOff>108855</xdr:rowOff>
    </xdr:from>
    <xdr:to>
      <xdr:col>3</xdr:col>
      <xdr:colOff>576943</xdr:colOff>
      <xdr:row>23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8" name="地区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地区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8650" y="1886585"/>
              <a:ext cx="1833880" cy="2202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>
    <xdr:from>
      <xdr:col>4</xdr:col>
      <xdr:colOff>181427</xdr:colOff>
      <xdr:row>15</xdr:row>
      <xdr:rowOff>0</xdr:rowOff>
    </xdr:from>
    <xdr:to>
      <xdr:col>28</xdr:col>
      <xdr:colOff>235859</xdr:colOff>
      <xdr:row>15</xdr:row>
      <xdr:rowOff>0</xdr:rowOff>
    </xdr:to>
    <xdr:cxnSp>
      <xdr:nvCxnSpPr>
        <xdr:cNvPr id="49" name="直接连接符 48"/>
        <xdr:cNvCxnSpPr/>
      </xdr:nvCxnSpPr>
      <xdr:spPr>
        <a:xfrm flipH="1">
          <a:off x="2695575" y="2667000"/>
          <a:ext cx="15142210" cy="0"/>
        </a:xfrm>
        <a:prstGeom prst="line">
          <a:avLst/>
        </a:prstGeom>
        <a:ln w="25400">
          <a:solidFill>
            <a:srgbClr val="EAEAEA">
              <a:alpha val="49000"/>
            </a:srgb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181427</xdr:colOff>
      <xdr:row>25</xdr:row>
      <xdr:rowOff>163172</xdr:rowOff>
    </xdr:from>
    <xdr:to>
      <xdr:col>20</xdr:col>
      <xdr:colOff>167817</xdr:colOff>
      <xdr:row>55</xdr:row>
      <xdr:rowOff>1</xdr:rowOff>
    </xdr:to>
    <xdr:graphicFrame>
      <xdr:nvGraphicFramePr>
        <xdr:cNvPr id="9" name="图表 8"/>
        <xdr:cNvGraphicFramePr/>
      </xdr:nvGraphicFramePr>
      <xdr:xfrm>
        <a:off x="3175635" y="4607560"/>
        <a:ext cx="9416415" cy="5171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346416</xdr:colOff>
      <xdr:row>25</xdr:row>
      <xdr:rowOff>163172</xdr:rowOff>
    </xdr:from>
    <xdr:to>
      <xdr:col>25</xdr:col>
      <xdr:colOff>226786</xdr:colOff>
      <xdr:row>41</xdr:row>
      <xdr:rowOff>0</xdr:rowOff>
    </xdr:to>
    <xdr:graphicFrame>
      <xdr:nvGraphicFramePr>
        <xdr:cNvPr id="11" name="图表 10"/>
        <xdr:cNvGraphicFramePr/>
      </xdr:nvGraphicFramePr>
      <xdr:xfrm>
        <a:off x="12770485" y="4607560"/>
        <a:ext cx="3023870" cy="2682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181427</xdr:colOff>
      <xdr:row>4</xdr:row>
      <xdr:rowOff>163282</xdr:rowOff>
    </xdr:from>
    <xdr:to>
      <xdr:col>29</xdr:col>
      <xdr:colOff>136071</xdr:colOff>
      <xdr:row>14</xdr:row>
      <xdr:rowOff>-1</xdr:rowOff>
    </xdr:to>
    <xdr:sp>
      <xdr:nvSpPr>
        <xdr:cNvPr id="13" name="矩形: 圆角 12"/>
        <xdr:cNvSpPr/>
      </xdr:nvSpPr>
      <xdr:spPr>
        <a:xfrm>
          <a:off x="3175635" y="874395"/>
          <a:ext cx="15042515" cy="1614170"/>
        </a:xfrm>
        <a:prstGeom prst="roundRect">
          <a:avLst/>
        </a:prstGeom>
        <a:solidFill>
          <a:schemeClr val="bg1"/>
        </a:solidFill>
        <a:effectLst>
          <a:outerShdw blurRad="101600" dist="50800" dir="5400000" algn="ctr" rotWithShape="0">
            <a:schemeClr val="bg1">
              <a:lumMod val="65000"/>
              <a:alpha val="40000"/>
            </a:schemeClr>
          </a:outerShdw>
        </a:effectLst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133803</xdr:colOff>
      <xdr:row>6</xdr:row>
      <xdr:rowOff>39004</xdr:rowOff>
    </xdr:from>
    <xdr:to>
      <xdr:col>10</xdr:col>
      <xdr:colOff>6801</xdr:colOff>
      <xdr:row>8</xdr:row>
      <xdr:rowOff>154215</xdr:rowOff>
    </xdr:to>
    <xdr:sp>
      <xdr:nvSpPr>
        <xdr:cNvPr id="12" name="文本框 11"/>
        <xdr:cNvSpPr txBox="1"/>
      </xdr:nvSpPr>
      <xdr:spPr>
        <a:xfrm>
          <a:off x="4385310" y="1105535"/>
          <a:ext cx="1758950" cy="470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>
              <a:solidFill>
                <a:schemeClr val="bg1">
                  <a:lumMod val="6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全年销售总额</a:t>
          </a:r>
          <a:endParaRPr lang="zh-CN" altLang="en-US" sz="2000">
            <a:solidFill>
              <a:schemeClr val="bg1">
                <a:lumMod val="65000"/>
              </a:schemeClr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6</xdr:col>
      <xdr:colOff>240392</xdr:colOff>
      <xdr:row>8</xdr:row>
      <xdr:rowOff>152400</xdr:rowOff>
    </xdr:from>
    <xdr:to>
      <xdr:col>10</xdr:col>
      <xdr:colOff>526141</xdr:colOff>
      <xdr:row>13</xdr:row>
      <xdr:rowOff>9069</xdr:rowOff>
    </xdr:to>
    <xdr:sp textlink="合并1!O26">
      <xdr:nvSpPr>
        <xdr:cNvPr id="14" name="文本框 13"/>
        <xdr:cNvSpPr txBox="1"/>
      </xdr:nvSpPr>
      <xdr:spPr>
        <a:xfrm>
          <a:off x="3863340" y="1574800"/>
          <a:ext cx="2800350" cy="745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7BD323DD-1CE0-4554-9126-05D44159BEEB}" type="TxLink">
            <a:rPr lang="en-US" altLang="en-US" sz="4000" b="0" i="0" u="none" strike="noStrike">
              <a:solidFill>
                <a:schemeClr val="accent6">
                  <a:lumMod val="7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822,697.00 </a:t>
          </a:fld>
          <a:endParaRPr lang="zh-CN" altLang="en-US" sz="4000">
            <a:solidFill>
              <a:schemeClr val="accent6">
                <a:lumMod val="75000"/>
              </a:schemeClr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5</xdr:col>
      <xdr:colOff>208644</xdr:colOff>
      <xdr:row>15</xdr:row>
      <xdr:rowOff>9071</xdr:rowOff>
    </xdr:from>
    <xdr:to>
      <xdr:col>9</xdr:col>
      <xdr:colOff>108857</xdr:colOff>
      <xdr:row>25</xdr:row>
      <xdr:rowOff>0</xdr:rowOff>
    </xdr:to>
    <xdr:grpSp>
      <xdr:nvGrpSpPr>
        <xdr:cNvPr id="66" name="组合 65"/>
        <xdr:cNvGrpSpPr/>
      </xdr:nvGrpSpPr>
      <xdr:grpSpPr>
        <a:xfrm>
          <a:off x="3202940" y="2675890"/>
          <a:ext cx="2414905" cy="1769110"/>
          <a:chOff x="2086430" y="1215571"/>
          <a:chExt cx="2403927" cy="1805215"/>
        </a:xfrm>
      </xdr:grpSpPr>
      <xdr:sp>
        <xdr:nvSpPr>
          <xdr:cNvPr id="18" name="矩形: 圆角 17"/>
          <xdr:cNvSpPr/>
        </xdr:nvSpPr>
        <xdr:spPr>
          <a:xfrm>
            <a:off x="2086430" y="1215571"/>
            <a:ext cx="2403927" cy="1787071"/>
          </a:xfrm>
          <a:prstGeom prst="roundRect">
            <a:avLst/>
          </a:prstGeom>
          <a:solidFill>
            <a:schemeClr val="accent2">
              <a:lumMod val="60000"/>
              <a:lumOff val="40000"/>
            </a:schemeClr>
          </a:solidFill>
          <a:effectLst>
            <a:outerShdw blurRad="101600" dist="50800" dir="5400000" algn="ctr" rotWithShape="0">
              <a:schemeClr val="bg1">
                <a:lumMod val="50000"/>
                <a:alpha val="40000"/>
              </a:schemeClr>
            </a:outerShdw>
          </a:effectLst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textlink="合并1!O28">
        <xdr:nvSpPr>
          <xdr:cNvPr id="20" name="文本框 19"/>
          <xdr:cNvSpPr txBox="1"/>
        </xdr:nvSpPr>
        <xdr:spPr>
          <a:xfrm>
            <a:off x="2208895" y="2256974"/>
            <a:ext cx="2199820" cy="7638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4048D90-2F70-4204-BD3D-E6EC11F41022}" type="TxLink">
              <a:rPr lang="en-US" altLang="en-US" sz="30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183,906.00 </a:t>
            </a:fld>
            <a:endParaRPr lang="zh-CN" altLang="en-US" sz="30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28">
        <xdr:nvSpPr>
          <xdr:cNvPr id="19" name="文本框 18"/>
          <xdr:cNvSpPr txBox="1"/>
        </xdr:nvSpPr>
        <xdr:spPr>
          <a:xfrm>
            <a:off x="2812144" y="1424212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467711B-5C35-4E16-9128-A0D50066C4BA}" type="TxLink">
              <a:rPr lang="zh-CN" altLang="en-US" sz="28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华北</a:t>
            </a:fld>
            <a:endParaRPr lang="zh-CN" altLang="en-US" sz="28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  <xdr:sp>
        <xdr:nvSpPr>
          <xdr:cNvPr id="21" name="文本框 20"/>
          <xdr:cNvSpPr txBox="1"/>
        </xdr:nvSpPr>
        <xdr:spPr>
          <a:xfrm>
            <a:off x="2565401" y="1885034"/>
            <a:ext cx="1462314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6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地区销售总额</a:t>
            </a:r>
            <a:endParaRPr lang="zh-CN" altLang="en-US" sz="16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</xdr:grpSp>
    <xdr:clientData/>
  </xdr:twoCellAnchor>
  <xdr:twoCellAnchor>
    <xdr:from>
      <xdr:col>9</xdr:col>
      <xdr:colOff>235858</xdr:colOff>
      <xdr:row>15</xdr:row>
      <xdr:rowOff>9071</xdr:rowOff>
    </xdr:from>
    <xdr:to>
      <xdr:col>13</xdr:col>
      <xdr:colOff>136071</xdr:colOff>
      <xdr:row>25</xdr:row>
      <xdr:rowOff>0</xdr:rowOff>
    </xdr:to>
    <xdr:grpSp>
      <xdr:nvGrpSpPr>
        <xdr:cNvPr id="61" name="组合 60"/>
        <xdr:cNvGrpSpPr/>
      </xdr:nvGrpSpPr>
      <xdr:grpSpPr>
        <a:xfrm>
          <a:off x="5744845" y="2675890"/>
          <a:ext cx="2414905" cy="1769110"/>
          <a:chOff x="4617358" y="2567214"/>
          <a:chExt cx="2403927" cy="1805215"/>
        </a:xfrm>
      </xdr:grpSpPr>
      <xdr:sp>
        <xdr:nvSpPr>
          <xdr:cNvPr id="32" name="矩形: 圆角 31"/>
          <xdr:cNvSpPr/>
        </xdr:nvSpPr>
        <xdr:spPr>
          <a:xfrm>
            <a:off x="4617358" y="2567214"/>
            <a:ext cx="2403927" cy="1787071"/>
          </a:xfrm>
          <a:prstGeom prst="roundRect">
            <a:avLst/>
          </a:prstGeom>
          <a:effectLst>
            <a:outerShdw blurRad="101600" dist="50800" dir="5400000" algn="ctr" rotWithShape="0">
              <a:schemeClr val="bg1">
                <a:lumMod val="50000"/>
                <a:alpha val="40000"/>
              </a:schemeClr>
            </a:outerShdw>
          </a:effectLst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textlink="合并1!O29">
        <xdr:nvSpPr>
          <xdr:cNvPr id="33" name="文本框 32"/>
          <xdr:cNvSpPr txBox="1"/>
        </xdr:nvSpPr>
        <xdr:spPr>
          <a:xfrm>
            <a:off x="4739823" y="3608617"/>
            <a:ext cx="2199820" cy="7638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266EA7AA-DB2A-4FEB-9996-05AFA9454CEE}" type="TxLink">
              <a:rPr lang="en-US" altLang="en-US" sz="30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200,812.00 </a:t>
            </a:fld>
            <a:endParaRPr lang="zh-CN" altLang="en-US" sz="30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29">
        <xdr:nvSpPr>
          <xdr:cNvPr id="34" name="文本框 33"/>
          <xdr:cNvSpPr txBox="1"/>
        </xdr:nvSpPr>
        <xdr:spPr>
          <a:xfrm>
            <a:off x="5343072" y="2775855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309B12A2-F386-43A5-ACE3-132C35608C69}" type="TxLink">
              <a:rPr lang="zh-CN" altLang="en-US" sz="28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华东</a:t>
            </a:fld>
            <a:endParaRPr lang="zh-CN" altLang="en-US" sz="28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>
        <xdr:nvSpPr>
          <xdr:cNvPr id="35" name="文本框 34"/>
          <xdr:cNvSpPr txBox="1"/>
        </xdr:nvSpPr>
        <xdr:spPr>
          <a:xfrm>
            <a:off x="5096329" y="3236677"/>
            <a:ext cx="1444172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6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地区销售总额</a:t>
            </a:r>
            <a:endParaRPr lang="zh-CN" altLang="en-US" sz="16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</xdr:grpSp>
    <xdr:clientData/>
  </xdr:twoCellAnchor>
  <xdr:twoCellAnchor>
    <xdr:from>
      <xdr:col>13</xdr:col>
      <xdr:colOff>281216</xdr:colOff>
      <xdr:row>15</xdr:row>
      <xdr:rowOff>9071</xdr:rowOff>
    </xdr:from>
    <xdr:to>
      <xdr:col>17</xdr:col>
      <xdr:colOff>181428</xdr:colOff>
      <xdr:row>25</xdr:row>
      <xdr:rowOff>0</xdr:rowOff>
    </xdr:to>
    <xdr:grpSp>
      <xdr:nvGrpSpPr>
        <xdr:cNvPr id="62" name="组合 61"/>
        <xdr:cNvGrpSpPr/>
      </xdr:nvGrpSpPr>
      <xdr:grpSpPr>
        <a:xfrm>
          <a:off x="8304530" y="2675890"/>
          <a:ext cx="2414905" cy="1769110"/>
          <a:chOff x="7166430" y="2567214"/>
          <a:chExt cx="2403927" cy="1805215"/>
        </a:xfrm>
      </xdr:grpSpPr>
      <xdr:sp>
        <xdr:nvSpPr>
          <xdr:cNvPr id="40" name="矩形: 圆角 39"/>
          <xdr:cNvSpPr/>
        </xdr:nvSpPr>
        <xdr:spPr>
          <a:xfrm>
            <a:off x="7166430" y="2567214"/>
            <a:ext cx="2403927" cy="1787071"/>
          </a:xfrm>
          <a:prstGeom prst="roundRect">
            <a:avLst/>
          </a:prstGeom>
          <a:solidFill>
            <a:schemeClr val="accent1">
              <a:lumMod val="60000"/>
              <a:lumOff val="40000"/>
            </a:schemeClr>
          </a:solidFill>
          <a:effectLst>
            <a:outerShdw blurRad="101600" dist="50800" dir="5400000" algn="ctr" rotWithShape="0">
              <a:schemeClr val="bg1">
                <a:lumMod val="50000"/>
                <a:alpha val="40000"/>
              </a:schemeClr>
            </a:outerShdw>
          </a:effectLst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textlink="合并1!O30">
        <xdr:nvSpPr>
          <xdr:cNvPr id="41" name="文本框 40"/>
          <xdr:cNvSpPr txBox="1"/>
        </xdr:nvSpPr>
        <xdr:spPr>
          <a:xfrm>
            <a:off x="7288895" y="3608617"/>
            <a:ext cx="2199820" cy="7638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4BB84A6-F467-478E-861C-90407D69297F}" type="TxLink">
              <a:rPr lang="en-US" altLang="en-US" sz="30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157,873.00 </a:t>
            </a:fld>
            <a:endParaRPr lang="zh-CN" altLang="en-US" sz="30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30">
        <xdr:nvSpPr>
          <xdr:cNvPr id="42" name="文本框 41"/>
          <xdr:cNvSpPr txBox="1"/>
        </xdr:nvSpPr>
        <xdr:spPr>
          <a:xfrm>
            <a:off x="7892144" y="2775855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D7F01DA-EC62-4B9D-9AD7-52AA3B6D7043}" type="TxLink">
              <a:rPr lang="zh-CN" altLang="en-US" sz="28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华南</a:t>
            </a:fld>
            <a:endParaRPr lang="zh-CN" altLang="en-US" sz="28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>
        <xdr:nvSpPr>
          <xdr:cNvPr id="43" name="文本框 42"/>
          <xdr:cNvSpPr txBox="1"/>
        </xdr:nvSpPr>
        <xdr:spPr>
          <a:xfrm>
            <a:off x="7645400" y="3236677"/>
            <a:ext cx="1426029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6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地区销售总额</a:t>
            </a:r>
            <a:endParaRPr lang="zh-CN" altLang="en-US" sz="16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</xdr:grpSp>
    <xdr:clientData/>
  </xdr:twoCellAnchor>
  <xdr:twoCellAnchor>
    <xdr:from>
      <xdr:col>17</xdr:col>
      <xdr:colOff>290287</xdr:colOff>
      <xdr:row>15</xdr:row>
      <xdr:rowOff>9071</xdr:rowOff>
    </xdr:from>
    <xdr:to>
      <xdr:col>21</xdr:col>
      <xdr:colOff>190500</xdr:colOff>
      <xdr:row>25</xdr:row>
      <xdr:rowOff>0</xdr:rowOff>
    </xdr:to>
    <xdr:grpSp>
      <xdr:nvGrpSpPr>
        <xdr:cNvPr id="63" name="组合 62"/>
        <xdr:cNvGrpSpPr/>
      </xdr:nvGrpSpPr>
      <xdr:grpSpPr>
        <a:xfrm>
          <a:off x="10828655" y="2675890"/>
          <a:ext cx="2414905" cy="1769110"/>
          <a:chOff x="9679216" y="2567214"/>
          <a:chExt cx="2403927" cy="1805215"/>
        </a:xfrm>
      </xdr:grpSpPr>
      <xdr:sp>
        <xdr:nvSpPr>
          <xdr:cNvPr id="48" name="矩形: 圆角 47"/>
          <xdr:cNvSpPr/>
        </xdr:nvSpPr>
        <xdr:spPr>
          <a:xfrm>
            <a:off x="9679216" y="2567214"/>
            <a:ext cx="2403927" cy="1787071"/>
          </a:xfrm>
          <a:prstGeom prst="roundRect">
            <a:avLst/>
          </a:prstGeom>
          <a:solidFill>
            <a:schemeClr val="accent4">
              <a:lumMod val="60000"/>
              <a:lumOff val="40000"/>
            </a:schemeClr>
          </a:solidFill>
          <a:ln>
            <a:solidFill>
              <a:schemeClr val="accent4">
                <a:lumMod val="60000"/>
                <a:lumOff val="40000"/>
              </a:schemeClr>
            </a:solidFill>
          </a:ln>
          <a:effectLst>
            <a:outerShdw blurRad="101600" dist="50800" dir="5400000" algn="ctr" rotWithShape="0">
              <a:schemeClr val="bg1">
                <a:lumMod val="50000"/>
                <a:alpha val="40000"/>
              </a:schemeClr>
            </a:outerShdw>
          </a:effectLst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textlink="合并1!O31">
        <xdr:nvSpPr>
          <xdr:cNvPr id="49" name="文本框 48"/>
          <xdr:cNvSpPr txBox="1"/>
        </xdr:nvSpPr>
        <xdr:spPr>
          <a:xfrm>
            <a:off x="9801681" y="3608617"/>
            <a:ext cx="2199820" cy="7638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D4311C8-1230-455D-9723-BA288940B5DA}" type="TxLink">
              <a:rPr lang="en-US" altLang="en-US" sz="30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97,142.00 </a:t>
            </a:fld>
            <a:endParaRPr lang="zh-CN" altLang="en-US" sz="30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31">
        <xdr:nvSpPr>
          <xdr:cNvPr id="50" name="文本框 49"/>
          <xdr:cNvSpPr txBox="1"/>
        </xdr:nvSpPr>
        <xdr:spPr>
          <a:xfrm>
            <a:off x="10404930" y="2775855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0464331B-1056-4F84-AA36-5D5B2C41EFC7}" type="TxLink">
              <a:rPr lang="zh-CN" altLang="en-US" sz="28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西南</a:t>
            </a:fld>
            <a:endParaRPr lang="zh-CN" altLang="en-US" sz="28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>
        <xdr:nvSpPr>
          <xdr:cNvPr id="51" name="文本框 50"/>
          <xdr:cNvSpPr txBox="1"/>
        </xdr:nvSpPr>
        <xdr:spPr>
          <a:xfrm>
            <a:off x="10158186" y="3236677"/>
            <a:ext cx="1471385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6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地区销售总额</a:t>
            </a:r>
            <a:endParaRPr lang="zh-CN" altLang="en-US" sz="16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</xdr:grpSp>
    <xdr:clientData/>
  </xdr:twoCellAnchor>
  <xdr:twoCellAnchor>
    <xdr:from>
      <xdr:col>21</xdr:col>
      <xdr:colOff>326573</xdr:colOff>
      <xdr:row>15</xdr:row>
      <xdr:rowOff>9071</xdr:rowOff>
    </xdr:from>
    <xdr:to>
      <xdr:col>25</xdr:col>
      <xdr:colOff>226786</xdr:colOff>
      <xdr:row>25</xdr:row>
      <xdr:rowOff>0</xdr:rowOff>
    </xdr:to>
    <xdr:grpSp>
      <xdr:nvGrpSpPr>
        <xdr:cNvPr id="64" name="组合 63"/>
        <xdr:cNvGrpSpPr/>
      </xdr:nvGrpSpPr>
      <xdr:grpSpPr>
        <a:xfrm>
          <a:off x="13379450" y="2675890"/>
          <a:ext cx="2414905" cy="1769110"/>
          <a:chOff x="12219216" y="2567214"/>
          <a:chExt cx="2403927" cy="1805215"/>
        </a:xfrm>
      </xdr:grpSpPr>
      <xdr:sp>
        <xdr:nvSpPr>
          <xdr:cNvPr id="52" name="矩形: 圆角 51"/>
          <xdr:cNvSpPr/>
        </xdr:nvSpPr>
        <xdr:spPr>
          <a:xfrm>
            <a:off x="12219216" y="2567214"/>
            <a:ext cx="2403927" cy="1787071"/>
          </a:xfrm>
          <a:prstGeom prst="roundRect">
            <a:avLst/>
          </a:prstGeom>
          <a:solidFill>
            <a:schemeClr val="accent5">
              <a:lumMod val="60000"/>
              <a:lumOff val="40000"/>
            </a:schemeClr>
          </a:solidFill>
          <a:effectLst>
            <a:outerShdw blurRad="101600" dist="50800" dir="5400000" algn="ctr" rotWithShape="0">
              <a:schemeClr val="bg1">
                <a:lumMod val="50000"/>
                <a:alpha val="40000"/>
              </a:schemeClr>
            </a:outerShdw>
          </a:effectLst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textlink="合并1!O32">
        <xdr:nvSpPr>
          <xdr:cNvPr id="53" name="文本框 52"/>
          <xdr:cNvSpPr txBox="1"/>
        </xdr:nvSpPr>
        <xdr:spPr>
          <a:xfrm>
            <a:off x="12341681" y="3608617"/>
            <a:ext cx="2199820" cy="7638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08DF472-BBAB-45C5-AD4E-F25BEE086FA4}" type="TxLink">
              <a:rPr lang="en-US" altLang="en-US" sz="30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102,863.00 </a:t>
            </a:fld>
            <a:endParaRPr lang="zh-CN" altLang="en-US" sz="30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32">
        <xdr:nvSpPr>
          <xdr:cNvPr id="54" name="文本框 53"/>
          <xdr:cNvSpPr txBox="1"/>
        </xdr:nvSpPr>
        <xdr:spPr>
          <a:xfrm>
            <a:off x="12944930" y="2775855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7F3EEF8-9FD6-4F90-94B7-6E3E43195FDA}" type="TxLink">
              <a:rPr lang="zh-CN" altLang="en-US" sz="28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华中</a:t>
            </a:fld>
            <a:endParaRPr lang="zh-CN" altLang="en-US" sz="28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>
        <xdr:nvSpPr>
          <xdr:cNvPr id="55" name="文本框 54"/>
          <xdr:cNvSpPr txBox="1"/>
        </xdr:nvSpPr>
        <xdr:spPr>
          <a:xfrm>
            <a:off x="12698187" y="3236677"/>
            <a:ext cx="1435100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6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地区销售总额</a:t>
            </a:r>
            <a:endParaRPr lang="zh-CN" altLang="en-US" sz="16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</xdr:grpSp>
    <xdr:clientData/>
  </xdr:twoCellAnchor>
  <xdr:twoCellAnchor>
    <xdr:from>
      <xdr:col>25</xdr:col>
      <xdr:colOff>335645</xdr:colOff>
      <xdr:row>15</xdr:row>
      <xdr:rowOff>9071</xdr:rowOff>
    </xdr:from>
    <xdr:to>
      <xdr:col>29</xdr:col>
      <xdr:colOff>235858</xdr:colOff>
      <xdr:row>25</xdr:row>
      <xdr:rowOff>0</xdr:rowOff>
    </xdr:to>
    <xdr:grpSp>
      <xdr:nvGrpSpPr>
        <xdr:cNvPr id="65" name="组合 64"/>
        <xdr:cNvGrpSpPr/>
      </xdr:nvGrpSpPr>
      <xdr:grpSpPr>
        <a:xfrm>
          <a:off x="15902940" y="2675890"/>
          <a:ext cx="2414905" cy="1769110"/>
          <a:chOff x="14732002" y="2567214"/>
          <a:chExt cx="2403927" cy="1805215"/>
        </a:xfrm>
      </xdr:grpSpPr>
      <xdr:sp>
        <xdr:nvSpPr>
          <xdr:cNvPr id="56" name="矩形: 圆角 55"/>
          <xdr:cNvSpPr/>
        </xdr:nvSpPr>
        <xdr:spPr>
          <a:xfrm>
            <a:off x="14732002" y="2567214"/>
            <a:ext cx="2403927" cy="1787071"/>
          </a:xfrm>
          <a:prstGeom prst="roundRect">
            <a:avLst/>
          </a:prstGeom>
          <a:solidFill>
            <a:schemeClr val="accent6">
              <a:lumMod val="60000"/>
              <a:lumOff val="40000"/>
            </a:schemeClr>
          </a:solidFill>
          <a:effectLst>
            <a:outerShdw blurRad="101600" dist="50800" dir="5400000" algn="ctr" rotWithShape="0">
              <a:schemeClr val="bg1">
                <a:lumMod val="50000"/>
                <a:alpha val="40000"/>
              </a:schemeClr>
            </a:outerShdw>
          </a:effectLst>
        </xdr:spPr>
        <xdr:style>
          <a:lnRef idx="3">
            <a:schemeClr val="lt1"/>
          </a:lnRef>
          <a:fillRef idx="1">
            <a:schemeClr val="accent3"/>
          </a:fillRef>
          <a:effectRef idx="1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textlink="合并1!O33">
        <xdr:nvSpPr>
          <xdr:cNvPr id="57" name="文本框 56"/>
          <xdr:cNvSpPr txBox="1"/>
        </xdr:nvSpPr>
        <xdr:spPr>
          <a:xfrm>
            <a:off x="14854467" y="3608617"/>
            <a:ext cx="2199820" cy="76381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2459952-4808-4296-82C8-D3ACE1B9723A}" type="TxLink">
              <a:rPr lang="en-US" altLang="en-US" sz="30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80,101.00 </a:t>
            </a:fld>
            <a:endParaRPr lang="zh-CN" altLang="en-US" sz="30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 textlink="合并1!N33">
        <xdr:nvSpPr>
          <xdr:cNvPr id="58" name="文本框 57"/>
          <xdr:cNvSpPr txBox="1"/>
        </xdr:nvSpPr>
        <xdr:spPr>
          <a:xfrm>
            <a:off x="15457716" y="2775855"/>
            <a:ext cx="898070" cy="5080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D9DD0ED-6091-400F-853E-C7344F6E9C5A}" type="TxLink">
              <a:rPr lang="zh-CN" altLang="en-US" sz="2800" b="0" i="0" u="none" strike="noStrike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rPr>
              <a:t>西北</a:t>
            </a:fld>
            <a:endParaRPr lang="zh-CN" altLang="en-US" sz="2800" b="0" i="0" u="none" strike="noStrike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endParaRPr>
          </a:p>
        </xdr:txBody>
      </xdr:sp>
      <xdr:sp>
        <xdr:nvSpPr>
          <xdr:cNvPr id="59" name="文本框 58"/>
          <xdr:cNvSpPr txBox="1"/>
        </xdr:nvSpPr>
        <xdr:spPr>
          <a:xfrm>
            <a:off x="15210972" y="3236677"/>
            <a:ext cx="1444171" cy="43542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600">
                <a:solidFill>
                  <a:schemeClr val="bg1"/>
                </a:solidFill>
                <a:latin typeface="黑体" panose="02010609060101010101" pitchFamily="49" charset="-122"/>
                <a:ea typeface="黑体" panose="02010609060101010101" pitchFamily="49" charset="-122"/>
              </a:rPr>
              <a:t>地区销售总额</a:t>
            </a:r>
            <a:endParaRPr lang="zh-CN" altLang="en-US" sz="1600">
              <a:solidFill>
                <a:schemeClr val="bg1"/>
              </a:solidFill>
              <a:latin typeface="黑体" panose="02010609060101010101" pitchFamily="49" charset="-122"/>
              <a:ea typeface="黑体" panose="02010609060101010101" pitchFamily="49" charset="-122"/>
            </a:endParaRPr>
          </a:p>
        </xdr:txBody>
      </xdr:sp>
    </xdr:grpSp>
    <xdr:clientData/>
  </xdr:twoCellAnchor>
  <xdr:twoCellAnchor>
    <xdr:from>
      <xdr:col>14</xdr:col>
      <xdr:colOff>596447</xdr:colOff>
      <xdr:row>6</xdr:row>
      <xdr:rowOff>39004</xdr:rowOff>
    </xdr:from>
    <xdr:to>
      <xdr:col>18</xdr:col>
      <xdr:colOff>260803</xdr:colOff>
      <xdr:row>8</xdr:row>
      <xdr:rowOff>127001</xdr:rowOff>
    </xdr:to>
    <xdr:sp>
      <xdr:nvSpPr>
        <xdr:cNvPr id="68" name="文本框 67"/>
        <xdr:cNvSpPr txBox="1"/>
      </xdr:nvSpPr>
      <xdr:spPr>
        <a:xfrm>
          <a:off x="9248775" y="1105535"/>
          <a:ext cx="2178685" cy="443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000">
              <a:solidFill>
                <a:schemeClr val="bg1">
                  <a:lumMod val="6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VIP</a:t>
          </a:r>
          <a:r>
            <a:rPr lang="zh-CN" altLang="en-US" sz="2000">
              <a:solidFill>
                <a:schemeClr val="bg1">
                  <a:lumMod val="6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客户销售总额</a:t>
          </a:r>
          <a:endParaRPr lang="zh-CN" altLang="en-US" sz="2000">
            <a:solidFill>
              <a:schemeClr val="bg1">
                <a:lumMod val="65000"/>
              </a:schemeClr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14</xdr:col>
      <xdr:colOff>285750</xdr:colOff>
      <xdr:row>8</xdr:row>
      <xdr:rowOff>152400</xdr:rowOff>
    </xdr:from>
    <xdr:to>
      <xdr:col>18</xdr:col>
      <xdr:colOff>571500</xdr:colOff>
      <xdr:row>13</xdr:row>
      <xdr:rowOff>9069</xdr:rowOff>
    </xdr:to>
    <xdr:sp textlink="合并1!O36">
      <xdr:nvSpPr>
        <xdr:cNvPr id="69" name="文本框 68"/>
        <xdr:cNvSpPr txBox="1"/>
      </xdr:nvSpPr>
      <xdr:spPr>
        <a:xfrm>
          <a:off x="8938260" y="1574800"/>
          <a:ext cx="2800350" cy="745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829AD9D2-B7B2-4F79-AECC-5432DBCEB2D4}" type="TxLink">
            <a:rPr lang="en-US" altLang="en-US" sz="4000" b="0" i="0" u="none" strike="noStrike">
              <a:solidFill>
                <a:schemeClr val="accent4">
                  <a:lumMod val="7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rPr>
            <a:t>225,772.00 </a:t>
          </a:fld>
          <a:endParaRPr lang="zh-CN" altLang="en-US" sz="4000" b="0" i="0" u="none" strike="noStrike">
            <a:solidFill>
              <a:schemeClr val="accent4">
                <a:lumMod val="75000"/>
              </a:schemeClr>
            </a:solidFill>
            <a:latin typeface="黑体" panose="02010609060101010101" pitchFamily="49" charset="-122"/>
            <a:ea typeface="黑体" panose="02010609060101010101" pitchFamily="49" charset="-122"/>
            <a:cs typeface="+mn-cs"/>
          </a:endParaRPr>
        </a:p>
      </xdr:txBody>
    </xdr:sp>
    <xdr:clientData/>
  </xdr:twoCellAnchor>
  <xdr:twoCellAnchor>
    <xdr:from>
      <xdr:col>23</xdr:col>
      <xdr:colOff>269875</xdr:colOff>
      <xdr:row>6</xdr:row>
      <xdr:rowOff>39004</xdr:rowOff>
    </xdr:from>
    <xdr:to>
      <xdr:col>27</xdr:col>
      <xdr:colOff>15875</xdr:colOff>
      <xdr:row>8</xdr:row>
      <xdr:rowOff>127001</xdr:rowOff>
    </xdr:to>
    <xdr:sp>
      <xdr:nvSpPr>
        <xdr:cNvPr id="73" name="文本框 72"/>
        <xdr:cNvSpPr txBox="1"/>
      </xdr:nvSpPr>
      <xdr:spPr>
        <a:xfrm>
          <a:off x="14580235" y="1105535"/>
          <a:ext cx="2260600" cy="4438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2000">
              <a:solidFill>
                <a:schemeClr val="bg1">
                  <a:lumMod val="6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</a:rPr>
            <a:t>普通客户销售总额</a:t>
          </a:r>
          <a:endParaRPr lang="zh-CN" altLang="en-US" sz="2000">
            <a:solidFill>
              <a:schemeClr val="bg1">
                <a:lumMod val="65000"/>
              </a:schemeClr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  <xdr:twoCellAnchor>
    <xdr:from>
      <xdr:col>23</xdr:col>
      <xdr:colOff>0</xdr:colOff>
      <xdr:row>8</xdr:row>
      <xdr:rowOff>152400</xdr:rowOff>
    </xdr:from>
    <xdr:to>
      <xdr:col>27</xdr:col>
      <xdr:colOff>285750</xdr:colOff>
      <xdr:row>13</xdr:row>
      <xdr:rowOff>9069</xdr:rowOff>
    </xdr:to>
    <xdr:sp textlink="合并1!O37">
      <xdr:nvSpPr>
        <xdr:cNvPr id="74" name="文本框 73"/>
        <xdr:cNvSpPr txBox="1"/>
      </xdr:nvSpPr>
      <xdr:spPr>
        <a:xfrm>
          <a:off x="14310360" y="1574800"/>
          <a:ext cx="2800350" cy="7454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BC47D6DC-B504-47B0-AC9B-29E847EDB242}" type="TxLink">
            <a:rPr lang="en-US" altLang="en-US" sz="4000" b="0" i="0" u="none" strike="noStrike">
              <a:solidFill>
                <a:schemeClr val="accent2">
                  <a:lumMod val="75000"/>
                </a:schemeClr>
              </a:solidFill>
              <a:latin typeface="黑体" panose="02010609060101010101" pitchFamily="49" charset="-122"/>
              <a:ea typeface="黑体" panose="02010609060101010101" pitchFamily="49" charset="-122"/>
              <a:cs typeface="+mn-cs"/>
            </a:rPr>
            <a:t>596,256.00 </a:t>
          </a:fld>
          <a:endParaRPr lang="zh-CN" altLang="en-US" sz="4000" b="0" i="0" u="none" strike="noStrike">
            <a:solidFill>
              <a:schemeClr val="accent2">
                <a:lumMod val="75000"/>
              </a:schemeClr>
            </a:solidFill>
            <a:latin typeface="黑体" panose="02010609060101010101" pitchFamily="49" charset="-122"/>
            <a:ea typeface="黑体" panose="02010609060101010101" pitchFamily="49" charset="-122"/>
            <a:cs typeface="+mn-cs"/>
          </a:endParaRPr>
        </a:p>
      </xdr:txBody>
    </xdr:sp>
    <xdr:clientData/>
  </xdr:twoCellAnchor>
  <xdr:twoCellAnchor>
    <xdr:from>
      <xdr:col>12</xdr:col>
      <xdr:colOff>0</xdr:colOff>
      <xdr:row>8</xdr:row>
      <xdr:rowOff>54427</xdr:rowOff>
    </xdr:from>
    <xdr:to>
      <xdr:col>12</xdr:col>
      <xdr:colOff>0</xdr:colOff>
      <xdr:row>10</xdr:row>
      <xdr:rowOff>108855</xdr:rowOff>
    </xdr:to>
    <xdr:cxnSp>
      <xdr:nvCxnSpPr>
        <xdr:cNvPr id="76" name="直接连接符 75"/>
        <xdr:cNvCxnSpPr/>
      </xdr:nvCxnSpPr>
      <xdr:spPr>
        <a:xfrm>
          <a:off x="7395210" y="1476375"/>
          <a:ext cx="0" cy="410210"/>
        </a:xfrm>
        <a:prstGeom prst="line">
          <a:avLst/>
        </a:prstGeom>
        <a:ln w="25400">
          <a:solidFill>
            <a:schemeClr val="bg1">
              <a:lumMod val="65000"/>
              <a:alpha val="49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616858</xdr:colOff>
      <xdr:row>8</xdr:row>
      <xdr:rowOff>54427</xdr:rowOff>
    </xdr:from>
    <xdr:to>
      <xdr:col>20</xdr:col>
      <xdr:colOff>616858</xdr:colOff>
      <xdr:row>10</xdr:row>
      <xdr:rowOff>108855</xdr:rowOff>
    </xdr:to>
    <xdr:cxnSp>
      <xdr:nvCxnSpPr>
        <xdr:cNvPr id="78" name="直接连接符 77"/>
        <xdr:cNvCxnSpPr/>
      </xdr:nvCxnSpPr>
      <xdr:spPr>
        <a:xfrm>
          <a:off x="13040995" y="1476375"/>
          <a:ext cx="0" cy="410210"/>
        </a:xfrm>
        <a:prstGeom prst="line">
          <a:avLst/>
        </a:prstGeom>
        <a:ln w="25400">
          <a:solidFill>
            <a:schemeClr val="bg1">
              <a:lumMod val="65000"/>
              <a:alpha val="49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458111</xdr:colOff>
      <xdr:row>26</xdr:row>
      <xdr:rowOff>0</xdr:rowOff>
    </xdr:from>
    <xdr:to>
      <xdr:col>29</xdr:col>
      <xdr:colOff>235858</xdr:colOff>
      <xdr:row>41</xdr:row>
      <xdr:rowOff>0</xdr:rowOff>
    </xdr:to>
    <xdr:graphicFrame>
      <xdr:nvGraphicFramePr>
        <xdr:cNvPr id="79" name="图表 78"/>
        <xdr:cNvGraphicFramePr/>
      </xdr:nvGraphicFramePr>
      <xdr:xfrm>
        <a:off x="16025495" y="4622800"/>
        <a:ext cx="229235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362858</xdr:colOff>
      <xdr:row>42</xdr:row>
      <xdr:rowOff>1</xdr:rowOff>
    </xdr:from>
    <xdr:to>
      <xdr:col>29</xdr:col>
      <xdr:colOff>235859</xdr:colOff>
      <xdr:row>55</xdr:row>
      <xdr:rowOff>2</xdr:rowOff>
    </xdr:to>
    <xdr:graphicFrame>
      <xdr:nvGraphicFramePr>
        <xdr:cNvPr id="80" name="图表 79"/>
        <xdr:cNvGraphicFramePr/>
      </xdr:nvGraphicFramePr>
      <xdr:xfrm>
        <a:off x="12786995" y="7467600"/>
        <a:ext cx="5530850" cy="2311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</xdr:col>
      <xdr:colOff>0</xdr:colOff>
      <xdr:row>42</xdr:row>
      <xdr:rowOff>24949</xdr:rowOff>
    </xdr:from>
    <xdr:to>
      <xdr:col>4</xdr:col>
      <xdr:colOff>576943</xdr:colOff>
      <xdr:row>55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1" name="客户名称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客户名称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8710" y="7492365"/>
              <a:ext cx="1833880" cy="22866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576943</xdr:colOff>
      <xdr:row>41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2" name="订单日期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订单日期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8710" y="4089400"/>
              <a:ext cx="1833880" cy="3200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635</xdr:colOff>
      <xdr:row>4</xdr:row>
      <xdr:rowOff>83185</xdr:rowOff>
    </xdr:from>
    <xdr:to>
      <xdr:col>4</xdr:col>
      <xdr:colOff>577578</xdr:colOff>
      <xdr:row>10</xdr:row>
      <xdr:rowOff>44624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3" name="客户等级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客户等级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9345" y="794385"/>
              <a:ext cx="1833880" cy="10280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0</xdr:colOff>
      <xdr:row>10</xdr:row>
      <xdr:rowOff>108854</xdr:rowOff>
    </xdr:from>
    <xdr:to>
      <xdr:col>4</xdr:col>
      <xdr:colOff>576943</xdr:colOff>
      <xdr:row>22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4" name="地区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地区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8710" y="1886585"/>
              <a:ext cx="1833880" cy="2025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此形状表示切片器。
当前版本不支持切片器，请升级到最新版的WPS。</a:t>
              </a:r>
            </a:p>
          </xdr:txBody>
        </xdr:sp>
      </mc:Fallback>
    </mc:AlternateContent>
    <xdr:clientData/>
  </xdr:twoCellAnchor>
  <xdr:oneCellAnchor>
    <xdr:from>
      <xdr:col>16</xdr:col>
      <xdr:colOff>240665</xdr:colOff>
      <xdr:row>0</xdr:row>
      <xdr:rowOff>6350</xdr:rowOff>
    </xdr:from>
    <xdr:ext cx="309880" cy="892175"/>
    <xdr:sp>
      <xdr:nvSpPr>
        <xdr:cNvPr id="3" name="矩形 2"/>
        <xdr:cNvSpPr/>
      </xdr:nvSpPr>
      <xdr:spPr>
        <a:xfrm>
          <a:off x="10150475" y="6350"/>
          <a:ext cx="309880" cy="892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none" rtlCol="0" anchor="t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p>
          <a:pPr algn="ctr"/>
          <a:endParaRPr lang="zh-CN" altLang="en-US" sz="4800" b="1">
            <a:ln/>
            <a:solidFill>
              <a:schemeClr val="accent5">
                <a:lumMod val="60000"/>
                <a:lumOff val="40000"/>
              </a:schemeClr>
            </a:solidFill>
            <a:effectLst/>
            <a:latin typeface="思源黑体 CN Bold" panose="020B0800000000000000" charset="-122"/>
            <a:ea typeface="思源黑体 CN Bold" panose="020B0800000000000000" charset="-122"/>
          </a:endParaRPr>
        </a:p>
      </xdr:txBody>
    </xdr:sp>
    <xdr:clientData/>
  </xdr:oneCellAnchor>
  <xdr:twoCellAnchor>
    <xdr:from>
      <xdr:col>13</xdr:col>
      <xdr:colOff>50800</xdr:colOff>
      <xdr:row>0</xdr:row>
      <xdr:rowOff>6350</xdr:rowOff>
    </xdr:from>
    <xdr:to>
      <xdr:col>17</xdr:col>
      <xdr:colOff>447040</xdr:colOff>
      <xdr:row>4</xdr:row>
      <xdr:rowOff>34290</xdr:rowOff>
    </xdr:to>
    <xdr:sp>
      <xdr:nvSpPr>
        <xdr:cNvPr id="4" name="文本框 3"/>
        <xdr:cNvSpPr txBox="1"/>
      </xdr:nvSpPr>
      <xdr:spPr>
        <a:xfrm>
          <a:off x="8074660" y="6350"/>
          <a:ext cx="2910840" cy="73914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zh-CN" altLang="en-US" sz="4800">
              <a:solidFill>
                <a:srgbClr val="0070C0"/>
              </a:solidFill>
              <a:latin typeface="黑体" panose="02010609060101010101" pitchFamily="49" charset="-122"/>
              <a:ea typeface="黑体" panose="02010609060101010101" pitchFamily="49" charset="-122"/>
            </a:rPr>
            <a:t>销售看板</a:t>
          </a:r>
          <a:endParaRPr lang="zh-CN" altLang="en-US" sz="4800">
            <a:solidFill>
              <a:srgbClr val="0070C0"/>
            </a:solidFill>
            <a:latin typeface="黑体" panose="02010609060101010101" pitchFamily="49" charset="-122"/>
            <a:ea typeface="黑体" panose="02010609060101010101" pitchFamily="49" charset="-122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04.9163337963" refreshedBy="flycat" recordCount="320">
  <cacheSource type="worksheet">
    <worksheetSource ref="A1:J1048576" sheet="合并1"/>
  </cacheSource>
  <cacheFields count="13">
    <cacheField name="订单号" numFmtId="0"/>
    <cacheField name="产品ID" numFmtId="0"/>
    <cacheField name="客户ID" numFmtId="0"/>
    <cacheField name="客户名称" numFmtId="0">
      <sharedItems containsBlank="1" count="12">
        <s v="北京通达科技"/>
        <s v="上海鑫源贸易"/>
        <s v="广州盛达电子"/>
        <s v="成都宏图数码"/>
        <s v="武汉联创科技"/>
        <s v="西安丝路电子"/>
        <s v="杭州浙东商贸"/>
        <s v="深圳前海科技"/>
        <s v="天津北方实业"/>
        <s v="重庆两江商贸"/>
        <s v="无"/>
        <m/>
      </sharedItems>
    </cacheField>
    <cacheField name="客户等级" numFmtId="0">
      <sharedItems containsBlank="1" count="4">
        <s v="VIP"/>
        <s v="普通"/>
        <s v="无"/>
        <m/>
      </sharedItems>
    </cacheField>
    <cacheField name="地区" numFmtId="0">
      <sharedItems containsBlank="1" count="7">
        <s v="华北"/>
        <s v="华东"/>
        <s v="华南"/>
        <s v="西南"/>
        <s v="华中"/>
        <s v="西北"/>
        <m/>
      </sharedItems>
    </cacheField>
    <cacheField name="订单金额" numFmtId="176">
      <sharedItems containsString="0" containsBlank="1" containsNumber="1" containsInteger="1" minValue="510" maxValue="4995" count="293">
        <n v="2488"/>
        <n v="2708"/>
        <n v="3583"/>
        <n v="2398"/>
        <n v="3355"/>
        <n v="3455"/>
        <n v="1058"/>
        <n v="1052"/>
        <n v="2250"/>
        <n v="4405"/>
        <n v="933"/>
        <n v="3127"/>
        <n v="1546"/>
        <n v="3343"/>
        <n v="3528"/>
        <n v="2756"/>
        <n v="4851"/>
        <n v="1806"/>
        <n v="1762"/>
        <n v="571"/>
        <n v="1403"/>
        <n v="4931"/>
        <n v="3565"/>
        <n v="2555"/>
        <n v="4148"/>
        <n v="1670"/>
        <n v="2718"/>
        <n v="3288"/>
        <n v="946"/>
        <n v="2787"/>
        <n v="1760"/>
        <n v="887"/>
        <n v="3945"/>
        <n v="2847"/>
        <n v="3936"/>
        <n v="4921"/>
        <n v="2405"/>
        <n v="1932"/>
        <n v="1512"/>
        <n v="4735"/>
        <n v="626"/>
        <n v="512"/>
        <n v="1118"/>
        <n v="557"/>
        <n v="4638"/>
        <n v="2045"/>
        <n v="670"/>
        <n v="975"/>
        <n v="2467"/>
        <n v="2999"/>
        <n v="2749"/>
        <n v="4546"/>
        <n v="2107"/>
        <n v="510"/>
        <n v="1059"/>
        <n v="1614"/>
        <n v="1830"/>
        <n v="4815"/>
        <n v="776"/>
        <n v="2140"/>
        <n v="4106"/>
        <n v="1988"/>
        <n v="2687"/>
        <n v="3599"/>
        <n v="2733"/>
        <n v="2908"/>
        <n v="4626"/>
        <n v="4025"/>
        <n v="3464"/>
        <n v="996"/>
        <n v="3782"/>
        <n v="2340"/>
        <n v="4576"/>
        <n v="3683"/>
        <n v="4969"/>
        <n v="4285"/>
        <n v="4130"/>
        <n v="3593"/>
        <n v="3763"/>
        <n v="3181"/>
        <n v="2078"/>
        <n v="1600"/>
        <n v="4522"/>
        <n v="2857"/>
        <n v="2817"/>
        <n v="656"/>
        <n v="1074"/>
        <n v="4457"/>
        <n v="750"/>
        <n v="3718"/>
        <n v="4260"/>
        <n v="2945"/>
        <n v="1714"/>
        <n v="2965"/>
        <n v="2533"/>
        <n v="4435"/>
        <n v="2091"/>
        <n v="2962"/>
        <n v="4000"/>
        <n v="1987"/>
        <n v="3670"/>
        <n v="4773"/>
        <n v="4982"/>
        <n v="655"/>
        <n v="695"/>
        <n v="2357"/>
        <n v="3566"/>
        <n v="3850"/>
        <n v="3500"/>
        <n v="2255"/>
        <n v="761"/>
        <n v="3087"/>
        <n v="2493"/>
        <n v="3096"/>
        <n v="2600"/>
        <n v="1905"/>
        <n v="4904"/>
        <n v="1763"/>
        <n v="902"/>
        <n v="680"/>
        <n v="3306"/>
        <n v="2058"/>
        <n v="4062"/>
        <n v="1756"/>
        <n v="4677"/>
        <n v="2712"/>
        <n v="4433"/>
        <n v="4663"/>
        <n v="1619"/>
        <n v="945"/>
        <n v="2887"/>
        <n v="2453"/>
        <n v="2563"/>
        <n v="4696"/>
        <n v="1503"/>
        <n v="4280"/>
        <n v="4136"/>
        <n v="2075"/>
        <n v="4914"/>
        <n v="1410"/>
        <n v="4221"/>
        <n v="1580"/>
        <n v="876"/>
        <n v="4640"/>
        <n v="2090"/>
        <n v="894"/>
        <n v="3582"/>
        <n v="1258"/>
        <n v="3485"/>
        <n v="1559"/>
        <n v="2180"/>
        <n v="1463"/>
        <n v="2902"/>
        <n v="1420"/>
        <n v="4172"/>
        <n v="4661"/>
        <n v="2968"/>
        <n v="3785"/>
        <n v="4995"/>
        <n v="1383"/>
        <n v="800"/>
        <n v="1966"/>
        <n v="3933"/>
        <n v="3064"/>
        <n v="1004"/>
        <n v="699"/>
        <n v="1264"/>
        <n v="677"/>
        <n v="4820"/>
        <n v="2810"/>
        <n v="1029"/>
        <n v="2855"/>
        <n v="1544"/>
        <n v="3049"/>
        <n v="3253"/>
        <n v="1466"/>
        <n v="3303"/>
        <n v="849"/>
        <n v="1895"/>
        <n v="3668"/>
        <n v="1214"/>
        <n v="4372"/>
        <n v="3671"/>
        <n v="1807"/>
        <n v="4170"/>
        <n v="4416"/>
        <n v="2419"/>
        <n v="4090"/>
        <n v="2242"/>
        <n v="636"/>
        <n v="3383"/>
        <n v="2605"/>
        <n v="2806"/>
        <n v="1372"/>
        <n v="3218"/>
        <n v="1345"/>
        <n v="3738"/>
        <n v="2052"/>
        <n v="1660"/>
        <n v="4632"/>
        <n v="2898"/>
        <n v="4311"/>
        <n v="2673"/>
        <n v="4201"/>
        <n v="830"/>
        <n v="3855"/>
        <n v="4568"/>
        <n v="3509"/>
        <n v="3227"/>
        <n v="4371"/>
        <n v="649"/>
        <n v="2145"/>
        <n v="1439"/>
        <n v="1524"/>
        <n v="1154"/>
        <n v="4599"/>
        <n v="4137"/>
        <n v="2763"/>
        <n v="4525"/>
        <n v="4290"/>
        <n v="4728"/>
        <n v="4700"/>
        <n v="772"/>
        <n v="1773"/>
        <n v="2830"/>
        <n v="3963"/>
        <n v="4489"/>
        <n v="4306"/>
        <n v="3085"/>
        <n v="1110"/>
        <n v="3196"/>
        <n v="3520"/>
        <n v="1956"/>
        <n v="4035"/>
        <n v="4436"/>
        <n v="3522"/>
        <n v="711"/>
        <n v="4895"/>
        <n v="3105"/>
        <n v="2610"/>
        <n v="3123"/>
        <n v="1243"/>
        <n v="1865"/>
        <n v="551"/>
        <n v="1515"/>
        <n v="2801"/>
        <n v="1020"/>
        <n v="3882"/>
        <n v="1979"/>
        <n v="3372"/>
        <n v="778"/>
        <n v="4676"/>
        <n v="4952"/>
        <n v="1681"/>
        <n v="3609"/>
        <n v="4355"/>
        <n v="1357"/>
        <n v="1590"/>
        <n v="923"/>
        <n v="1103"/>
        <n v="4911"/>
        <n v="1064"/>
        <n v="4199"/>
        <n v="1361"/>
        <n v="2339"/>
        <n v="4586"/>
        <n v="1513"/>
        <n v="3125"/>
        <n v="536"/>
        <n v="3207"/>
        <n v="2469"/>
        <n v="1320"/>
        <n v="1603"/>
        <n v="2260"/>
        <n v="2097"/>
        <n v="2853"/>
        <n v="4282"/>
        <n v="2921"/>
        <n v="2969"/>
        <n v="4566"/>
        <n v="4896"/>
        <n v="3919"/>
        <n v="589"/>
        <n v="757"/>
        <n v="4798"/>
        <n v="1468"/>
        <n v="1266"/>
        <n v="3491"/>
        <n v="1120"/>
        <n v="4464"/>
        <n v="669"/>
        <n v="4005"/>
        <m/>
      </sharedItems>
    </cacheField>
    <cacheField name="订单日期" numFmtId="0">
      <sharedItems containsString="0" containsBlank="1" containsNonDate="0" containsDate="1" minDate="2025-01-01T00:00:00" maxDate="2025-10-25T00:00:00" count="289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25T00:00:00"/>
        <m/>
      </sharedItems>
    </cacheField>
    <cacheField name="索引" numFmtId="0"/>
    <cacheField name="状态自定义" numFmtId="0"/>
    <cacheField name="天(订单日期)" numFmtId="0" databaseField="0">
      <fieldGroup base="7">
        <rangePr groupBy="days" startDate="2025-01-01T00:00:00" endDate="2025-10-26T00:00:00" groupInterval="1"/>
        <groupItems count="368">
          <s v="&lt;2025/1/1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5/10/26"/>
        </groupItems>
      </fieldGroup>
    </cacheField>
    <cacheField name="月(订单日期)" numFmtId="0" databaseField="0">
      <fieldGroup base="7">
        <rangePr groupBy="months" startDate="2025-01-01T00:00:00" endDate="2025-10-26T00:00:00" groupInterval="1"/>
        <groupItems count="14">
          <s v="&lt;2025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10/26"/>
        </groupItems>
      </fieldGroup>
    </cacheField>
    <cacheField name="年平均销售额" numFmtId="0" formula="订单金额/订单日期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0">
  <r>
    <s v="OD202500001"/>
    <s v="P1001"/>
    <s v="C0001"/>
    <x v="0"/>
    <x v="0"/>
    <x v="0"/>
    <x v="0"/>
    <x v="0"/>
    <n v="1"/>
    <s v="正常"/>
  </r>
  <r>
    <s v="OD202500002"/>
    <s v="P1001"/>
    <s v="C0002"/>
    <x v="1"/>
    <x v="1"/>
    <x v="1"/>
    <x v="1"/>
    <x v="0"/>
    <n v="2"/>
    <s v="正常"/>
  </r>
  <r>
    <s v="OD202500003"/>
    <s v="P1002"/>
    <s v="C0001"/>
    <x v="0"/>
    <x v="0"/>
    <x v="0"/>
    <x v="2"/>
    <x v="0"/>
    <n v="3"/>
    <s v="正常"/>
  </r>
  <r>
    <s v="OD202500004"/>
    <s v="P1002"/>
    <s v="C0003"/>
    <x v="2"/>
    <x v="1"/>
    <x v="2"/>
    <x v="3"/>
    <x v="0"/>
    <n v="4"/>
    <s v="正常"/>
  </r>
  <r>
    <s v="OD202500005"/>
    <s v="P1003"/>
    <s v="C0004"/>
    <x v="3"/>
    <x v="1"/>
    <x v="3"/>
    <x v="4"/>
    <x v="0"/>
    <n v="5"/>
    <s v="正常"/>
  </r>
  <r>
    <s v="OD202500006"/>
    <s v="P1003"/>
    <s v="C0005"/>
    <x v="4"/>
    <x v="1"/>
    <x v="4"/>
    <x v="5"/>
    <x v="0"/>
    <n v="6"/>
    <s v="正常"/>
  </r>
  <r>
    <s v="OD202500007"/>
    <s v="P1001"/>
    <s v="C0002"/>
    <x v="1"/>
    <x v="1"/>
    <x v="1"/>
    <x v="6"/>
    <x v="1"/>
    <n v="7"/>
    <s v="正常"/>
  </r>
  <r>
    <s v="OD202500008"/>
    <s v="P1004"/>
    <s v="C0006"/>
    <x v="5"/>
    <x v="1"/>
    <x v="5"/>
    <x v="7"/>
    <x v="1"/>
    <n v="8"/>
    <s v="正常"/>
  </r>
  <r>
    <s v="OD202500009"/>
    <s v="P1004"/>
    <s v="C0007"/>
    <x v="6"/>
    <x v="0"/>
    <x v="1"/>
    <x v="8"/>
    <x v="1"/>
    <n v="9"/>
    <s v="正常"/>
  </r>
  <r>
    <s v="OD202500010"/>
    <s v="P1005"/>
    <s v="C0008"/>
    <x v="7"/>
    <x v="0"/>
    <x v="2"/>
    <x v="9"/>
    <x v="1"/>
    <n v="10"/>
    <s v="正常"/>
  </r>
  <r>
    <s v="OD202500011"/>
    <s v="P1005"/>
    <s v="C0009"/>
    <x v="8"/>
    <x v="1"/>
    <x v="0"/>
    <x v="10"/>
    <x v="1"/>
    <n v="11"/>
    <s v="正常"/>
  </r>
  <r>
    <s v="OD202500012"/>
    <s v="P1001"/>
    <s v="C0010"/>
    <x v="9"/>
    <x v="1"/>
    <x v="3"/>
    <x v="11"/>
    <x v="2"/>
    <n v="12"/>
    <s v="正常"/>
  </r>
  <r>
    <s v="OD202500013"/>
    <s v="P1002"/>
    <s v="C0003"/>
    <x v="2"/>
    <x v="1"/>
    <x v="2"/>
    <x v="12"/>
    <x v="2"/>
    <n v="13"/>
    <s v="正常"/>
  </r>
  <r>
    <s v="OD202500014"/>
    <s v="P1003"/>
    <s v="C0004"/>
    <x v="3"/>
    <x v="1"/>
    <x v="3"/>
    <x v="13"/>
    <x v="2"/>
    <n v="14"/>
    <s v="正常"/>
  </r>
  <r>
    <s v="OD202500015"/>
    <s v="P1004"/>
    <s v="C0005"/>
    <x v="4"/>
    <x v="1"/>
    <x v="4"/>
    <x v="14"/>
    <x v="2"/>
    <n v="15"/>
    <s v="正常"/>
  </r>
  <r>
    <s v="OD202500016"/>
    <s v="P1005"/>
    <s v="C0001"/>
    <x v="0"/>
    <x v="0"/>
    <x v="5"/>
    <x v="15"/>
    <x v="2"/>
    <n v="16"/>
    <s v="正常"/>
  </r>
  <r>
    <s v="OD202500017"/>
    <s v="P1001"/>
    <s v="C0002"/>
    <x v="1"/>
    <x v="1"/>
    <x v="1"/>
    <x v="16"/>
    <x v="3"/>
    <n v="17"/>
    <s v="正常"/>
  </r>
  <r>
    <s v="OD202500018"/>
    <s v="P1002"/>
    <s v="C0001"/>
    <x v="0"/>
    <x v="0"/>
    <x v="2"/>
    <x v="17"/>
    <x v="3"/>
    <n v="18"/>
    <s v="正常"/>
  </r>
  <r>
    <s v="OD202500019"/>
    <s v="P1003"/>
    <s v="C0003"/>
    <x v="2"/>
    <x v="1"/>
    <x v="0"/>
    <x v="18"/>
    <x v="3"/>
    <n v="19"/>
    <s v="正常"/>
  </r>
  <r>
    <s v="OD202500020"/>
    <s v="P1004"/>
    <s v="C0004"/>
    <x v="3"/>
    <x v="1"/>
    <x v="0"/>
    <x v="19"/>
    <x v="3"/>
    <n v="20"/>
    <s v="正常"/>
  </r>
  <r>
    <s v="OD202500021"/>
    <s v="P1005"/>
    <s v="C0005"/>
    <x v="4"/>
    <x v="1"/>
    <x v="1"/>
    <x v="20"/>
    <x v="4"/>
    <n v="21"/>
    <s v="正常"/>
  </r>
  <r>
    <s v="OD202500022"/>
    <s v="P1001"/>
    <s v="C0002"/>
    <x v="1"/>
    <x v="1"/>
    <x v="0"/>
    <x v="21"/>
    <x v="5"/>
    <n v="22"/>
    <s v="正常"/>
  </r>
  <r>
    <s v="OD202500023"/>
    <s v="P1001"/>
    <s v="C0006"/>
    <x v="5"/>
    <x v="1"/>
    <x v="2"/>
    <x v="22"/>
    <x v="6"/>
    <n v="23"/>
    <s v="正常"/>
  </r>
  <r>
    <s v="OD202500024"/>
    <s v="P1002"/>
    <s v="C0007"/>
    <x v="6"/>
    <x v="0"/>
    <x v="3"/>
    <x v="23"/>
    <x v="7"/>
    <n v="24"/>
    <s v="正常"/>
  </r>
  <r>
    <s v="OD202500025"/>
    <s v="P1002"/>
    <s v="C0008"/>
    <x v="7"/>
    <x v="0"/>
    <x v="4"/>
    <x v="24"/>
    <x v="8"/>
    <n v="25"/>
    <s v="正常"/>
  </r>
  <r>
    <s v="OD202500026"/>
    <s v="P1003"/>
    <s v="C0009"/>
    <x v="8"/>
    <x v="1"/>
    <x v="1"/>
    <x v="25"/>
    <x v="9"/>
    <n v="26"/>
    <s v="正常"/>
  </r>
  <r>
    <s v="OD202500027"/>
    <s v="P1003"/>
    <s v="C0010"/>
    <x v="9"/>
    <x v="1"/>
    <x v="5"/>
    <x v="26"/>
    <x v="10"/>
    <n v="27"/>
    <s v="正常"/>
  </r>
  <r>
    <s v="OD202500028"/>
    <s v="P1001"/>
    <s v="C0003"/>
    <x v="2"/>
    <x v="1"/>
    <x v="1"/>
    <x v="27"/>
    <x v="11"/>
    <n v="28"/>
    <s v="正常"/>
  </r>
  <r>
    <s v="OD202500029"/>
    <s v="P1004"/>
    <s v="C0004"/>
    <x v="3"/>
    <x v="1"/>
    <x v="2"/>
    <x v="28"/>
    <x v="12"/>
    <n v="29"/>
    <s v="正常"/>
  </r>
  <r>
    <s v="OD202500030"/>
    <s v="P1004"/>
    <s v="C0005"/>
    <x v="4"/>
    <x v="1"/>
    <x v="0"/>
    <x v="29"/>
    <x v="13"/>
    <n v="30"/>
    <s v="正常"/>
  </r>
  <r>
    <s v="OD202500031"/>
    <s v="P1005"/>
    <s v="C0001"/>
    <x v="0"/>
    <x v="0"/>
    <x v="0"/>
    <x v="30"/>
    <x v="14"/>
    <n v="31"/>
    <s v="正常"/>
  </r>
  <r>
    <s v="OD202500032"/>
    <s v="P1005"/>
    <s v="C0002"/>
    <x v="1"/>
    <x v="1"/>
    <x v="1"/>
    <x v="31"/>
    <x v="15"/>
    <n v="32"/>
    <s v="正常"/>
  </r>
  <r>
    <s v="OD202500033"/>
    <s v="P1001"/>
    <s v="C0001"/>
    <x v="0"/>
    <x v="0"/>
    <x v="0"/>
    <x v="32"/>
    <x v="16"/>
    <n v="33"/>
    <s v="正常"/>
  </r>
  <r>
    <s v="OD202500034"/>
    <s v="P1002"/>
    <s v="C0003"/>
    <x v="2"/>
    <x v="1"/>
    <x v="2"/>
    <x v="33"/>
    <x v="17"/>
    <n v="34"/>
    <s v="正常"/>
  </r>
  <r>
    <s v="OD202500035"/>
    <s v="P1003"/>
    <s v="C0004"/>
    <x v="3"/>
    <x v="1"/>
    <x v="3"/>
    <x v="34"/>
    <x v="18"/>
    <n v="35"/>
    <s v="正常"/>
  </r>
  <r>
    <s v="OD202500036"/>
    <s v="P1004"/>
    <s v="C0005"/>
    <x v="4"/>
    <x v="1"/>
    <x v="4"/>
    <x v="35"/>
    <x v="19"/>
    <n v="36"/>
    <s v="正常"/>
  </r>
  <r>
    <s v="OD202500037"/>
    <s v="P1005"/>
    <s v="C0002"/>
    <x v="1"/>
    <x v="1"/>
    <x v="1"/>
    <x v="36"/>
    <x v="20"/>
    <n v="37"/>
    <s v="正常"/>
  </r>
  <r>
    <s v="OD202500038"/>
    <s v="P1001"/>
    <s v="C0006"/>
    <x v="5"/>
    <x v="1"/>
    <x v="5"/>
    <x v="37"/>
    <x v="21"/>
    <n v="38"/>
    <s v="正常"/>
  </r>
  <r>
    <s v="OD202500039"/>
    <s v="P1002"/>
    <s v="C0007"/>
    <x v="6"/>
    <x v="0"/>
    <x v="1"/>
    <x v="38"/>
    <x v="22"/>
    <n v="39"/>
    <s v="正常"/>
  </r>
  <r>
    <s v="OD202500040"/>
    <s v="P1003"/>
    <s v="C0008"/>
    <x v="7"/>
    <x v="0"/>
    <x v="2"/>
    <x v="39"/>
    <x v="23"/>
    <n v="40"/>
    <s v="正常"/>
  </r>
  <r>
    <s v="OD202500041"/>
    <s v="P1004"/>
    <s v="C0009"/>
    <x v="8"/>
    <x v="1"/>
    <x v="0"/>
    <x v="40"/>
    <x v="24"/>
    <n v="41"/>
    <s v="正常"/>
  </r>
  <r>
    <s v="OD202500042"/>
    <s v="P1005"/>
    <s v="C0010"/>
    <x v="9"/>
    <x v="1"/>
    <x v="3"/>
    <x v="41"/>
    <x v="25"/>
    <n v="42"/>
    <s v="正常"/>
  </r>
  <r>
    <s v="OD202500043"/>
    <s v="P1001"/>
    <s v="C0003"/>
    <x v="2"/>
    <x v="1"/>
    <x v="2"/>
    <x v="42"/>
    <x v="26"/>
    <n v="43"/>
    <s v="正常"/>
  </r>
  <r>
    <s v="OD202500044"/>
    <s v="P1001"/>
    <s v="C0004"/>
    <x v="3"/>
    <x v="1"/>
    <x v="3"/>
    <x v="43"/>
    <x v="27"/>
    <n v="44"/>
    <s v="正常"/>
  </r>
  <r>
    <s v="OD202500045"/>
    <s v="P1002"/>
    <s v="C0005"/>
    <x v="4"/>
    <x v="1"/>
    <x v="4"/>
    <x v="44"/>
    <x v="28"/>
    <n v="45"/>
    <s v="正常"/>
  </r>
  <r>
    <s v="OD202500046"/>
    <s v="P1002"/>
    <s v="C0001"/>
    <x v="0"/>
    <x v="0"/>
    <x v="5"/>
    <x v="45"/>
    <x v="29"/>
    <n v="46"/>
    <s v="正常"/>
  </r>
  <r>
    <s v="OD202500047"/>
    <s v="P1003"/>
    <s v="C0002"/>
    <x v="1"/>
    <x v="1"/>
    <x v="1"/>
    <x v="46"/>
    <x v="30"/>
    <n v="47"/>
    <s v="正常"/>
  </r>
  <r>
    <s v="OD202500048"/>
    <s v="P1003"/>
    <s v="C0001"/>
    <x v="0"/>
    <x v="0"/>
    <x v="2"/>
    <x v="47"/>
    <x v="31"/>
    <n v="48"/>
    <s v="正常"/>
  </r>
  <r>
    <s v="OD202500049"/>
    <s v="P1001"/>
    <s v="C0003"/>
    <x v="2"/>
    <x v="1"/>
    <x v="0"/>
    <x v="48"/>
    <x v="32"/>
    <n v="49"/>
    <s v="正常"/>
  </r>
  <r>
    <s v="OD202500050"/>
    <s v="P1004"/>
    <s v="C0004"/>
    <x v="3"/>
    <x v="1"/>
    <x v="0"/>
    <x v="49"/>
    <x v="33"/>
    <n v="50"/>
    <s v="正常"/>
  </r>
  <r>
    <s v="OD202500051"/>
    <s v="P1004"/>
    <s v="C0005"/>
    <x v="4"/>
    <x v="1"/>
    <x v="1"/>
    <x v="50"/>
    <x v="34"/>
    <n v="51"/>
    <s v="正常"/>
  </r>
  <r>
    <s v="OD202500052"/>
    <s v="P1005"/>
    <s v="C0002"/>
    <x v="1"/>
    <x v="1"/>
    <x v="0"/>
    <x v="51"/>
    <x v="35"/>
    <n v="52"/>
    <s v="正常"/>
  </r>
  <r>
    <s v="OD202500053"/>
    <s v="P1005"/>
    <s v="C0006"/>
    <x v="5"/>
    <x v="1"/>
    <x v="1"/>
    <x v="52"/>
    <x v="36"/>
    <n v="53"/>
    <s v="正常"/>
  </r>
  <r>
    <s v="OD202500054"/>
    <s v="P1001"/>
    <s v="C0007"/>
    <x v="6"/>
    <x v="0"/>
    <x v="0"/>
    <x v="53"/>
    <x v="37"/>
    <n v="54"/>
    <s v="正常"/>
  </r>
  <r>
    <s v="OD202500055"/>
    <s v="P1002"/>
    <s v="C0008"/>
    <x v="7"/>
    <x v="0"/>
    <x v="2"/>
    <x v="54"/>
    <x v="38"/>
    <n v="55"/>
    <s v="正常"/>
  </r>
  <r>
    <s v="OD202500056"/>
    <s v="P1003"/>
    <s v="C0009"/>
    <x v="8"/>
    <x v="1"/>
    <x v="3"/>
    <x v="55"/>
    <x v="39"/>
    <n v="56"/>
    <s v="正常"/>
  </r>
  <r>
    <s v="OD202500057"/>
    <s v="P1004"/>
    <s v="C0010"/>
    <x v="9"/>
    <x v="1"/>
    <x v="4"/>
    <x v="56"/>
    <x v="40"/>
    <n v="57"/>
    <s v="正常"/>
  </r>
  <r>
    <s v="OD202500058"/>
    <s v="P1005"/>
    <s v="C0003"/>
    <x v="2"/>
    <x v="1"/>
    <x v="1"/>
    <x v="57"/>
    <x v="41"/>
    <n v="58"/>
    <s v="正常"/>
  </r>
  <r>
    <s v="OD202500059"/>
    <s v="P1001"/>
    <s v="C0004"/>
    <x v="3"/>
    <x v="1"/>
    <x v="5"/>
    <x v="58"/>
    <x v="42"/>
    <n v="59"/>
    <s v="正常"/>
  </r>
  <r>
    <s v="OD202500060"/>
    <s v="P1002"/>
    <s v="C0005"/>
    <x v="4"/>
    <x v="1"/>
    <x v="1"/>
    <x v="59"/>
    <x v="43"/>
    <n v="60"/>
    <s v="正常"/>
  </r>
  <r>
    <s v="OD202500061"/>
    <s v="P1003"/>
    <s v="C0001"/>
    <x v="0"/>
    <x v="0"/>
    <x v="2"/>
    <x v="60"/>
    <x v="44"/>
    <n v="61"/>
    <s v="正常"/>
  </r>
  <r>
    <s v="OD202500062"/>
    <s v="P1004"/>
    <s v="C0002"/>
    <x v="1"/>
    <x v="1"/>
    <x v="0"/>
    <x v="61"/>
    <x v="45"/>
    <n v="62"/>
    <s v="正常"/>
  </r>
  <r>
    <s v="OD202500063"/>
    <s v="P1005"/>
    <s v="C0001"/>
    <x v="0"/>
    <x v="0"/>
    <x v="3"/>
    <x v="62"/>
    <x v="46"/>
    <n v="63"/>
    <s v="正常"/>
  </r>
  <r>
    <s v="OD202500064"/>
    <s v="P1001"/>
    <s v="C0003"/>
    <x v="2"/>
    <x v="1"/>
    <x v="2"/>
    <x v="63"/>
    <x v="47"/>
    <n v="64"/>
    <s v="正常"/>
  </r>
  <r>
    <s v="OD202500065"/>
    <s v="P1001"/>
    <s v="C0004"/>
    <x v="3"/>
    <x v="1"/>
    <x v="3"/>
    <x v="64"/>
    <x v="48"/>
    <n v="65"/>
    <s v="正常"/>
  </r>
  <r>
    <s v="OD202500066"/>
    <s v="P1002"/>
    <s v="C0005"/>
    <x v="4"/>
    <x v="1"/>
    <x v="4"/>
    <x v="65"/>
    <x v="49"/>
    <n v="66"/>
    <s v="正常"/>
  </r>
  <r>
    <s v="OD202500067"/>
    <s v="P1002"/>
    <s v="C0002"/>
    <x v="1"/>
    <x v="1"/>
    <x v="5"/>
    <x v="66"/>
    <x v="50"/>
    <n v="67"/>
    <s v="正常"/>
  </r>
  <r>
    <s v="OD202500068"/>
    <s v="P1003"/>
    <s v="C0006"/>
    <x v="5"/>
    <x v="1"/>
    <x v="1"/>
    <x v="67"/>
    <x v="51"/>
    <n v="68"/>
    <s v="正常"/>
  </r>
  <r>
    <s v="OD202500069"/>
    <s v="P1003"/>
    <s v="C0007"/>
    <x v="6"/>
    <x v="0"/>
    <x v="2"/>
    <x v="68"/>
    <x v="52"/>
    <n v="69"/>
    <s v="正常"/>
  </r>
  <r>
    <s v="OD202500070"/>
    <s v="P1001"/>
    <s v="C0008"/>
    <x v="7"/>
    <x v="0"/>
    <x v="0"/>
    <x v="69"/>
    <x v="53"/>
    <n v="70"/>
    <s v="正常"/>
  </r>
  <r>
    <s v="OD202500071"/>
    <s v="P1004"/>
    <s v="C0009"/>
    <x v="8"/>
    <x v="1"/>
    <x v="0"/>
    <x v="70"/>
    <x v="54"/>
    <n v="71"/>
    <s v="正常"/>
  </r>
  <r>
    <s v="OD202500072"/>
    <s v="P1004"/>
    <s v="C0010"/>
    <x v="9"/>
    <x v="1"/>
    <x v="1"/>
    <x v="71"/>
    <x v="55"/>
    <n v="72"/>
    <s v="正常"/>
  </r>
  <r>
    <s v="OD202500073"/>
    <s v="P1005"/>
    <s v="C0003"/>
    <x v="2"/>
    <x v="1"/>
    <x v="0"/>
    <x v="72"/>
    <x v="56"/>
    <n v="73"/>
    <s v="正常"/>
  </r>
  <r>
    <s v="OD202500074"/>
    <s v="P1005"/>
    <s v="C0004"/>
    <x v="3"/>
    <x v="1"/>
    <x v="2"/>
    <x v="73"/>
    <x v="57"/>
    <n v="74"/>
    <s v="正常"/>
  </r>
  <r>
    <s v="OD202500075"/>
    <s v="P1001"/>
    <s v="C0005"/>
    <x v="4"/>
    <x v="1"/>
    <x v="3"/>
    <x v="44"/>
    <x v="58"/>
    <n v="75"/>
    <s v="正常"/>
  </r>
  <r>
    <s v="OD202500076"/>
    <s v="P1002"/>
    <s v="C0001"/>
    <x v="0"/>
    <x v="0"/>
    <x v="4"/>
    <x v="74"/>
    <x v="59"/>
    <n v="76"/>
    <s v="正常"/>
  </r>
  <r>
    <s v="OD202500077"/>
    <s v="P1003"/>
    <s v="C0002"/>
    <x v="1"/>
    <x v="1"/>
    <x v="1"/>
    <x v="75"/>
    <x v="60"/>
    <n v="77"/>
    <s v="正常"/>
  </r>
  <r>
    <s v="OD202500078"/>
    <s v="P1004"/>
    <s v="C0001"/>
    <x v="0"/>
    <x v="0"/>
    <x v="5"/>
    <x v="76"/>
    <x v="61"/>
    <n v="78"/>
    <s v="正常"/>
  </r>
  <r>
    <s v="OD202500079"/>
    <s v="P1005"/>
    <s v="C0003"/>
    <x v="2"/>
    <x v="1"/>
    <x v="1"/>
    <x v="77"/>
    <x v="62"/>
    <n v="79"/>
    <s v="正常"/>
  </r>
  <r>
    <s v="OD202500080"/>
    <s v="P1001"/>
    <s v="C0004"/>
    <x v="3"/>
    <x v="1"/>
    <x v="2"/>
    <x v="78"/>
    <x v="63"/>
    <n v="80"/>
    <s v="正常"/>
  </r>
  <r>
    <s v="OD202500081"/>
    <s v="P1002"/>
    <s v="C0005"/>
    <x v="4"/>
    <x v="1"/>
    <x v="0"/>
    <x v="79"/>
    <x v="64"/>
    <n v="81"/>
    <s v="正常"/>
  </r>
  <r>
    <s v="OD202500082"/>
    <s v="P1003"/>
    <s v="C0002"/>
    <x v="1"/>
    <x v="1"/>
    <x v="0"/>
    <x v="80"/>
    <x v="65"/>
    <n v="82"/>
    <s v="正常"/>
  </r>
  <r>
    <s v="OD202500083"/>
    <s v="P1004"/>
    <s v="C0006"/>
    <x v="5"/>
    <x v="1"/>
    <x v="1"/>
    <x v="81"/>
    <x v="66"/>
    <n v="83"/>
    <s v="正常"/>
  </r>
  <r>
    <s v="OD202500084"/>
    <s v="P1005"/>
    <s v="C0007"/>
    <x v="6"/>
    <x v="0"/>
    <x v="0"/>
    <x v="82"/>
    <x v="67"/>
    <n v="84"/>
    <s v="正常"/>
  </r>
  <r>
    <s v="OD202500085"/>
    <s v="P1001"/>
    <s v="C0008"/>
    <x v="7"/>
    <x v="0"/>
    <x v="2"/>
    <x v="83"/>
    <x v="68"/>
    <n v="85"/>
    <s v="正常"/>
  </r>
  <r>
    <s v="OD202500086"/>
    <s v="P1001"/>
    <s v="C0009"/>
    <x v="8"/>
    <x v="1"/>
    <x v="3"/>
    <x v="84"/>
    <x v="69"/>
    <n v="86"/>
    <s v="正常"/>
  </r>
  <r>
    <s v="OD202500087"/>
    <s v="P1002"/>
    <s v="C0010"/>
    <x v="9"/>
    <x v="1"/>
    <x v="4"/>
    <x v="85"/>
    <x v="70"/>
    <n v="87"/>
    <s v="正常"/>
  </r>
  <r>
    <s v="OD202500088"/>
    <s v="P1002"/>
    <s v="C0003"/>
    <x v="2"/>
    <x v="1"/>
    <x v="1"/>
    <x v="86"/>
    <x v="71"/>
    <n v="88"/>
    <s v="正常"/>
  </r>
  <r>
    <s v="OD202500089"/>
    <s v="P1003"/>
    <s v="C0004"/>
    <x v="3"/>
    <x v="1"/>
    <x v="5"/>
    <x v="87"/>
    <x v="72"/>
    <n v="89"/>
    <s v="正常"/>
  </r>
  <r>
    <s v="OD202500090"/>
    <s v="P1003"/>
    <s v="C0005"/>
    <x v="4"/>
    <x v="1"/>
    <x v="1"/>
    <x v="88"/>
    <x v="73"/>
    <n v="90"/>
    <s v="正常"/>
  </r>
  <r>
    <s v="OD202500091"/>
    <s v="P1001"/>
    <s v="C0001"/>
    <x v="0"/>
    <x v="0"/>
    <x v="2"/>
    <x v="89"/>
    <x v="74"/>
    <n v="91"/>
    <s v="正常"/>
  </r>
  <r>
    <s v="OD202500092"/>
    <s v="P1004"/>
    <s v="C0002"/>
    <x v="1"/>
    <x v="1"/>
    <x v="0"/>
    <x v="90"/>
    <x v="75"/>
    <n v="92"/>
    <s v="正常"/>
  </r>
  <r>
    <s v="OD202500093"/>
    <s v="P1004"/>
    <s v="C0001"/>
    <x v="0"/>
    <x v="0"/>
    <x v="3"/>
    <x v="91"/>
    <x v="76"/>
    <n v="93"/>
    <s v="正常"/>
  </r>
  <r>
    <s v="OD202500094"/>
    <s v="P1005"/>
    <s v="C0003"/>
    <x v="2"/>
    <x v="1"/>
    <x v="2"/>
    <x v="92"/>
    <x v="77"/>
    <n v="94"/>
    <s v="正常"/>
  </r>
  <r>
    <s v="OD202500095"/>
    <s v="P1005"/>
    <s v="C0004"/>
    <x v="3"/>
    <x v="1"/>
    <x v="3"/>
    <x v="93"/>
    <x v="78"/>
    <n v="95"/>
    <s v="正常"/>
  </r>
  <r>
    <s v="OD202500096"/>
    <s v="P1001"/>
    <s v="C0005"/>
    <x v="4"/>
    <x v="1"/>
    <x v="4"/>
    <x v="94"/>
    <x v="79"/>
    <n v="96"/>
    <s v="正常"/>
  </r>
  <r>
    <s v="OD202500097"/>
    <s v="P1002"/>
    <s v="C0002"/>
    <x v="1"/>
    <x v="1"/>
    <x v="5"/>
    <x v="95"/>
    <x v="80"/>
    <n v="97"/>
    <s v="正常"/>
  </r>
  <r>
    <s v="OD202500098"/>
    <s v="P1003"/>
    <s v="C0006"/>
    <x v="5"/>
    <x v="1"/>
    <x v="1"/>
    <x v="96"/>
    <x v="81"/>
    <n v="98"/>
    <s v="正常"/>
  </r>
  <r>
    <s v="OD202500099"/>
    <s v="P1004"/>
    <s v="C0007"/>
    <x v="6"/>
    <x v="0"/>
    <x v="2"/>
    <x v="97"/>
    <x v="82"/>
    <n v="99"/>
    <s v="正常"/>
  </r>
  <r>
    <s v="OD202500100"/>
    <s v="P1005"/>
    <s v="C0008"/>
    <x v="7"/>
    <x v="0"/>
    <x v="0"/>
    <x v="98"/>
    <x v="83"/>
    <n v="100"/>
    <s v="正常"/>
  </r>
  <r>
    <s v="OD202500101"/>
    <s v="P1001"/>
    <s v="C0009"/>
    <x v="8"/>
    <x v="1"/>
    <x v="0"/>
    <x v="99"/>
    <x v="84"/>
    <n v="101"/>
    <s v="正常"/>
  </r>
  <r>
    <s v="OD202500102"/>
    <s v="P1002"/>
    <s v="C0010"/>
    <x v="9"/>
    <x v="1"/>
    <x v="1"/>
    <x v="100"/>
    <x v="85"/>
    <n v="102"/>
    <s v="正常"/>
  </r>
  <r>
    <s v="OD202500103"/>
    <s v="P1003"/>
    <s v="C0003"/>
    <x v="2"/>
    <x v="1"/>
    <x v="0"/>
    <x v="101"/>
    <x v="86"/>
    <n v="103"/>
    <s v="正常"/>
  </r>
  <r>
    <s v="OD202500104"/>
    <s v="P1004"/>
    <s v="C0004"/>
    <x v="3"/>
    <x v="1"/>
    <x v="1"/>
    <x v="102"/>
    <x v="87"/>
    <n v="104"/>
    <s v="正常"/>
  </r>
  <r>
    <s v="OD202500105"/>
    <s v="P1005"/>
    <s v="C0005"/>
    <x v="4"/>
    <x v="1"/>
    <x v="0"/>
    <x v="103"/>
    <x v="88"/>
    <n v="105"/>
    <s v="正常"/>
  </r>
  <r>
    <s v="OD202500106"/>
    <s v="P1001"/>
    <s v="C0001"/>
    <x v="0"/>
    <x v="0"/>
    <x v="2"/>
    <x v="104"/>
    <x v="89"/>
    <n v="106"/>
    <s v="正常"/>
  </r>
  <r>
    <s v="OD202500107"/>
    <s v="P1001"/>
    <s v="C0002"/>
    <x v="1"/>
    <x v="1"/>
    <x v="3"/>
    <x v="105"/>
    <x v="90"/>
    <n v="107"/>
    <s v="正常"/>
  </r>
  <r>
    <s v="OD202500108"/>
    <s v="P1002"/>
    <s v="C0001"/>
    <x v="0"/>
    <x v="0"/>
    <x v="4"/>
    <x v="106"/>
    <x v="91"/>
    <n v="108"/>
    <s v="正常"/>
  </r>
  <r>
    <s v="OD202500109"/>
    <s v="P1002"/>
    <s v="C0003"/>
    <x v="2"/>
    <x v="1"/>
    <x v="1"/>
    <x v="107"/>
    <x v="92"/>
    <n v="109"/>
    <s v="正常"/>
  </r>
  <r>
    <s v="OD202500110"/>
    <s v="P1003"/>
    <s v="C0004"/>
    <x v="3"/>
    <x v="1"/>
    <x v="5"/>
    <x v="108"/>
    <x v="93"/>
    <n v="110"/>
    <s v="正常"/>
  </r>
  <r>
    <s v="OD202500111"/>
    <s v="P1003"/>
    <s v="C0005"/>
    <x v="4"/>
    <x v="1"/>
    <x v="1"/>
    <x v="109"/>
    <x v="94"/>
    <n v="111"/>
    <s v="正常"/>
  </r>
  <r>
    <s v="OD202500112"/>
    <s v="P1001"/>
    <s v="C0002"/>
    <x v="1"/>
    <x v="1"/>
    <x v="2"/>
    <x v="110"/>
    <x v="95"/>
    <n v="112"/>
    <s v="正常"/>
  </r>
  <r>
    <s v="OD202500113"/>
    <s v="P1004"/>
    <s v="C0006"/>
    <x v="5"/>
    <x v="1"/>
    <x v="0"/>
    <x v="111"/>
    <x v="96"/>
    <n v="113"/>
    <s v="正常"/>
  </r>
  <r>
    <s v="OD202500114"/>
    <s v="P1004"/>
    <s v="C0007"/>
    <x v="6"/>
    <x v="0"/>
    <x v="3"/>
    <x v="112"/>
    <x v="97"/>
    <n v="114"/>
    <s v="正常"/>
  </r>
  <r>
    <s v="OD202500115"/>
    <s v="P1005"/>
    <s v="C0008"/>
    <x v="7"/>
    <x v="0"/>
    <x v="2"/>
    <x v="113"/>
    <x v="98"/>
    <n v="115"/>
    <s v="正常"/>
  </r>
  <r>
    <s v="OD202500116"/>
    <s v="P1005"/>
    <s v="C0009"/>
    <x v="8"/>
    <x v="1"/>
    <x v="3"/>
    <x v="114"/>
    <x v="99"/>
    <n v="116"/>
    <s v="正常"/>
  </r>
  <r>
    <s v="OD202500117"/>
    <s v="P1001"/>
    <s v="C0010"/>
    <x v="9"/>
    <x v="1"/>
    <x v="4"/>
    <x v="115"/>
    <x v="100"/>
    <n v="117"/>
    <s v="正常"/>
  </r>
  <r>
    <s v="OD202500118"/>
    <s v="P1002"/>
    <s v="C0003"/>
    <x v="2"/>
    <x v="1"/>
    <x v="5"/>
    <x v="116"/>
    <x v="101"/>
    <n v="118"/>
    <s v="正常"/>
  </r>
  <r>
    <s v="OD202500119"/>
    <s v="P1003"/>
    <s v="C0004"/>
    <x v="3"/>
    <x v="1"/>
    <x v="1"/>
    <x v="117"/>
    <x v="102"/>
    <n v="119"/>
    <s v="正常"/>
  </r>
  <r>
    <s v="OD202500120"/>
    <s v="P1004"/>
    <s v="C0005"/>
    <x v="4"/>
    <x v="1"/>
    <x v="2"/>
    <x v="118"/>
    <x v="103"/>
    <n v="120"/>
    <s v="正常"/>
  </r>
  <r>
    <s v="OD202500121"/>
    <s v="P1005"/>
    <s v="C0001"/>
    <x v="0"/>
    <x v="0"/>
    <x v="0"/>
    <x v="119"/>
    <x v="104"/>
    <n v="121"/>
    <s v="正常"/>
  </r>
  <r>
    <s v="OD202500122"/>
    <s v="P1001"/>
    <s v="C0002"/>
    <x v="1"/>
    <x v="1"/>
    <x v="0"/>
    <x v="120"/>
    <x v="105"/>
    <n v="122"/>
    <s v="正常"/>
  </r>
  <r>
    <s v="OD202500123"/>
    <s v="P1002"/>
    <s v="C0001"/>
    <x v="0"/>
    <x v="0"/>
    <x v="1"/>
    <x v="83"/>
    <x v="106"/>
    <n v="123"/>
    <s v="正常"/>
  </r>
  <r>
    <s v="OD202500124"/>
    <s v="P1003"/>
    <s v="C0003"/>
    <x v="2"/>
    <x v="1"/>
    <x v="0"/>
    <x v="121"/>
    <x v="107"/>
    <n v="124"/>
    <s v="正常"/>
  </r>
  <r>
    <s v="OD202500125"/>
    <s v="P1004"/>
    <s v="C0004"/>
    <x v="3"/>
    <x v="1"/>
    <x v="2"/>
    <x v="122"/>
    <x v="108"/>
    <n v="125"/>
    <s v="正常"/>
  </r>
  <r>
    <s v="OD202500126"/>
    <s v="P1005"/>
    <s v="C0005"/>
    <x v="4"/>
    <x v="1"/>
    <x v="3"/>
    <x v="123"/>
    <x v="109"/>
    <n v="126"/>
    <s v="正常"/>
  </r>
  <r>
    <s v="OD202500127"/>
    <s v="P1001"/>
    <s v="C0002"/>
    <x v="1"/>
    <x v="1"/>
    <x v="4"/>
    <x v="124"/>
    <x v="110"/>
    <n v="127"/>
    <s v="正常"/>
  </r>
  <r>
    <s v="OD202500128"/>
    <s v="P1001"/>
    <s v="C0006"/>
    <x v="5"/>
    <x v="1"/>
    <x v="1"/>
    <x v="125"/>
    <x v="111"/>
    <n v="128"/>
    <s v="正常"/>
  </r>
  <r>
    <s v="OD202500129"/>
    <s v="P1002"/>
    <s v="C0007"/>
    <x v="6"/>
    <x v="0"/>
    <x v="5"/>
    <x v="126"/>
    <x v="112"/>
    <n v="129"/>
    <s v="正常"/>
  </r>
  <r>
    <s v="OD202500130"/>
    <s v="P1002"/>
    <s v="C0008"/>
    <x v="7"/>
    <x v="0"/>
    <x v="1"/>
    <x v="127"/>
    <x v="113"/>
    <n v="130"/>
    <s v="正常"/>
  </r>
  <r>
    <s v="OD202500131"/>
    <s v="P1003"/>
    <s v="C0009"/>
    <x v="8"/>
    <x v="1"/>
    <x v="2"/>
    <x v="128"/>
    <x v="114"/>
    <n v="131"/>
    <s v="正常"/>
  </r>
  <r>
    <s v="OD202500132"/>
    <s v="P1003"/>
    <s v="C0010"/>
    <x v="9"/>
    <x v="1"/>
    <x v="0"/>
    <x v="129"/>
    <x v="115"/>
    <n v="132"/>
    <s v="正常"/>
  </r>
  <r>
    <s v="OD202500133"/>
    <s v="P1001"/>
    <s v="C0003"/>
    <x v="2"/>
    <x v="1"/>
    <x v="0"/>
    <x v="130"/>
    <x v="116"/>
    <n v="133"/>
    <s v="正常"/>
  </r>
  <r>
    <s v="OD202500134"/>
    <s v="P1004"/>
    <s v="C0004"/>
    <x v="3"/>
    <x v="1"/>
    <x v="1"/>
    <x v="131"/>
    <x v="117"/>
    <n v="134"/>
    <s v="正常"/>
  </r>
  <r>
    <s v="OD202500135"/>
    <s v="P1004"/>
    <s v="C0005"/>
    <x v="4"/>
    <x v="1"/>
    <x v="0"/>
    <x v="132"/>
    <x v="118"/>
    <n v="135"/>
    <s v="正常"/>
  </r>
  <r>
    <s v="OD202500136"/>
    <s v="P1005"/>
    <s v="C0001"/>
    <x v="0"/>
    <x v="0"/>
    <x v="2"/>
    <x v="133"/>
    <x v="119"/>
    <n v="136"/>
    <s v="正常"/>
  </r>
  <r>
    <s v="OD202500137"/>
    <s v="P1005"/>
    <s v="C0002"/>
    <x v="1"/>
    <x v="1"/>
    <x v="3"/>
    <x v="134"/>
    <x v="120"/>
    <n v="137"/>
    <s v="正常"/>
  </r>
  <r>
    <s v="OD202500138"/>
    <s v="P1001"/>
    <s v="C0001"/>
    <x v="0"/>
    <x v="0"/>
    <x v="4"/>
    <x v="135"/>
    <x v="121"/>
    <n v="138"/>
    <s v="正常"/>
  </r>
  <r>
    <s v="OD202500139"/>
    <s v="P1002"/>
    <s v="C0003"/>
    <x v="2"/>
    <x v="1"/>
    <x v="1"/>
    <x v="136"/>
    <x v="122"/>
    <n v="139"/>
    <s v="正常"/>
  </r>
  <r>
    <s v="OD202500140"/>
    <s v="P1003"/>
    <s v="C0004"/>
    <x v="3"/>
    <x v="1"/>
    <x v="5"/>
    <x v="137"/>
    <x v="123"/>
    <n v="140"/>
    <s v="正常"/>
  </r>
  <r>
    <s v="OD202500141"/>
    <s v="P1004"/>
    <s v="C0005"/>
    <x v="4"/>
    <x v="1"/>
    <x v="1"/>
    <x v="138"/>
    <x v="124"/>
    <n v="141"/>
    <s v="正常"/>
  </r>
  <r>
    <s v="OD202500142"/>
    <s v="P1005"/>
    <s v="C0002"/>
    <x v="1"/>
    <x v="1"/>
    <x v="2"/>
    <x v="139"/>
    <x v="125"/>
    <n v="142"/>
    <s v="正常"/>
  </r>
  <r>
    <s v="OD202500143"/>
    <s v="P1001"/>
    <s v="C0006"/>
    <x v="5"/>
    <x v="1"/>
    <x v="0"/>
    <x v="140"/>
    <x v="126"/>
    <n v="143"/>
    <s v="正常"/>
  </r>
  <r>
    <s v="OD202500144"/>
    <s v="P1002"/>
    <s v="C0007"/>
    <x v="6"/>
    <x v="0"/>
    <x v="3"/>
    <x v="141"/>
    <x v="127"/>
    <n v="144"/>
    <s v="正常"/>
  </r>
  <r>
    <s v="OD202500145"/>
    <s v="P1003"/>
    <s v="C0008"/>
    <x v="7"/>
    <x v="0"/>
    <x v="2"/>
    <x v="142"/>
    <x v="128"/>
    <n v="145"/>
    <s v="正常"/>
  </r>
  <r>
    <s v="OD202500146"/>
    <s v="P1004"/>
    <s v="C0009"/>
    <x v="8"/>
    <x v="1"/>
    <x v="3"/>
    <x v="7"/>
    <x v="129"/>
    <n v="146"/>
    <s v="正常"/>
  </r>
  <r>
    <s v="OD202500147"/>
    <s v="P1005"/>
    <s v="C0010"/>
    <x v="9"/>
    <x v="1"/>
    <x v="4"/>
    <x v="143"/>
    <x v="130"/>
    <n v="147"/>
    <s v="正常"/>
  </r>
  <r>
    <s v="OD202500148"/>
    <s v="P1001"/>
    <s v="C0003"/>
    <x v="2"/>
    <x v="1"/>
    <x v="5"/>
    <x v="144"/>
    <x v="131"/>
    <n v="148"/>
    <s v="正常"/>
  </r>
  <r>
    <s v="OD202500149"/>
    <s v="P1001"/>
    <s v="C0004"/>
    <x v="3"/>
    <x v="1"/>
    <x v="1"/>
    <x v="145"/>
    <x v="132"/>
    <n v="149"/>
    <s v="正常"/>
  </r>
  <r>
    <s v="OD202500150"/>
    <s v="P1002"/>
    <s v="C0005"/>
    <x v="4"/>
    <x v="1"/>
    <x v="2"/>
    <x v="146"/>
    <x v="133"/>
    <n v="150"/>
    <s v="正常"/>
  </r>
  <r>
    <s v="OD202500151"/>
    <s v="P1002"/>
    <s v="C0001"/>
    <x v="0"/>
    <x v="0"/>
    <x v="0"/>
    <x v="147"/>
    <x v="134"/>
    <n v="151"/>
    <s v="正常"/>
  </r>
  <r>
    <s v="OD202500152"/>
    <s v="P1003"/>
    <s v="C0002"/>
    <x v="1"/>
    <x v="1"/>
    <x v="0"/>
    <x v="148"/>
    <x v="135"/>
    <n v="152"/>
    <s v="正常"/>
  </r>
  <r>
    <s v="OD202500153"/>
    <s v="P1003"/>
    <s v="C0001"/>
    <x v="0"/>
    <x v="0"/>
    <x v="1"/>
    <x v="149"/>
    <x v="136"/>
    <n v="153"/>
    <s v="正常"/>
  </r>
  <r>
    <s v="OD202500154"/>
    <s v="P1001"/>
    <s v="C0003"/>
    <x v="2"/>
    <x v="1"/>
    <x v="0"/>
    <x v="150"/>
    <x v="137"/>
    <n v="154"/>
    <s v="正常"/>
  </r>
  <r>
    <s v="OD202500155"/>
    <s v="P1004"/>
    <s v="C0004"/>
    <x v="3"/>
    <x v="1"/>
    <x v="1"/>
    <x v="151"/>
    <x v="138"/>
    <n v="155"/>
    <s v="正常"/>
  </r>
  <r>
    <s v="OD202500156"/>
    <s v="P1004"/>
    <s v="C0005"/>
    <x v="4"/>
    <x v="1"/>
    <x v="0"/>
    <x v="152"/>
    <x v="139"/>
    <n v="156"/>
    <s v="正常"/>
  </r>
  <r>
    <s v="OD202500157"/>
    <s v="P1005"/>
    <s v="C0002"/>
    <x v="1"/>
    <x v="1"/>
    <x v="2"/>
    <x v="153"/>
    <x v="140"/>
    <n v="157"/>
    <s v="正常"/>
  </r>
  <r>
    <s v="OD202500158"/>
    <s v="P1005"/>
    <s v="C0006"/>
    <x v="5"/>
    <x v="1"/>
    <x v="3"/>
    <x v="154"/>
    <x v="141"/>
    <n v="158"/>
    <s v="正常"/>
  </r>
  <r>
    <s v="OD202500159"/>
    <s v="P1001"/>
    <s v="C0007"/>
    <x v="6"/>
    <x v="0"/>
    <x v="4"/>
    <x v="155"/>
    <x v="142"/>
    <n v="159"/>
    <s v="正常"/>
  </r>
  <r>
    <s v="OD202500160"/>
    <s v="P1002"/>
    <s v="C0008"/>
    <x v="7"/>
    <x v="0"/>
    <x v="1"/>
    <x v="156"/>
    <x v="143"/>
    <n v="160"/>
    <s v="正常"/>
  </r>
  <r>
    <s v="OD202500161"/>
    <s v="P1003"/>
    <s v="C0009"/>
    <x v="8"/>
    <x v="1"/>
    <x v="5"/>
    <x v="157"/>
    <x v="144"/>
    <n v="161"/>
    <s v="正常"/>
  </r>
  <r>
    <s v="OD202500162"/>
    <s v="P1004"/>
    <s v="C0010"/>
    <x v="9"/>
    <x v="1"/>
    <x v="1"/>
    <x v="105"/>
    <x v="145"/>
    <n v="162"/>
    <s v="正常"/>
  </r>
  <r>
    <s v="OD202500163"/>
    <s v="P1005"/>
    <s v="C0003"/>
    <x v="2"/>
    <x v="1"/>
    <x v="2"/>
    <x v="158"/>
    <x v="146"/>
    <n v="163"/>
    <s v="正常"/>
  </r>
  <r>
    <s v="OD202500164"/>
    <s v="P1001"/>
    <s v="C0004"/>
    <x v="3"/>
    <x v="1"/>
    <x v="0"/>
    <x v="159"/>
    <x v="147"/>
    <n v="164"/>
    <s v="正常"/>
  </r>
  <r>
    <s v="OD202500165"/>
    <s v="P1002"/>
    <s v="C0005"/>
    <x v="4"/>
    <x v="1"/>
    <x v="3"/>
    <x v="160"/>
    <x v="148"/>
    <n v="165"/>
    <s v="正常"/>
  </r>
  <r>
    <s v="OD202500166"/>
    <s v="P1003"/>
    <s v="C0001"/>
    <x v="0"/>
    <x v="0"/>
    <x v="2"/>
    <x v="161"/>
    <x v="149"/>
    <n v="166"/>
    <s v="正常"/>
  </r>
  <r>
    <s v="OD202500167"/>
    <s v="P1004"/>
    <s v="C0002"/>
    <x v="1"/>
    <x v="1"/>
    <x v="3"/>
    <x v="162"/>
    <x v="150"/>
    <n v="167"/>
    <s v="正常"/>
  </r>
  <r>
    <s v="OD202500168"/>
    <s v="P1005"/>
    <s v="C0001"/>
    <x v="0"/>
    <x v="0"/>
    <x v="4"/>
    <x v="163"/>
    <x v="151"/>
    <n v="168"/>
    <s v="正常"/>
  </r>
  <r>
    <s v="OD202500169"/>
    <s v="P1001"/>
    <s v="C0003"/>
    <x v="2"/>
    <x v="1"/>
    <x v="5"/>
    <x v="164"/>
    <x v="152"/>
    <n v="169"/>
    <s v="正常"/>
  </r>
  <r>
    <s v="OD202500170"/>
    <s v="P1001"/>
    <s v="C0004"/>
    <x v="3"/>
    <x v="1"/>
    <x v="1"/>
    <x v="165"/>
    <x v="153"/>
    <n v="170"/>
    <s v="正常"/>
  </r>
  <r>
    <s v="OD202500171"/>
    <s v="P1002"/>
    <s v="C0005"/>
    <x v="4"/>
    <x v="1"/>
    <x v="2"/>
    <x v="166"/>
    <x v="154"/>
    <n v="171"/>
    <s v="正常"/>
  </r>
  <r>
    <s v="OD202500172"/>
    <s v="P1002"/>
    <s v="C0002"/>
    <x v="1"/>
    <x v="1"/>
    <x v="0"/>
    <x v="167"/>
    <x v="155"/>
    <n v="172"/>
    <s v="正常"/>
  </r>
  <r>
    <s v="OD202500173"/>
    <s v="P1003"/>
    <s v="C0006"/>
    <x v="5"/>
    <x v="1"/>
    <x v="0"/>
    <x v="168"/>
    <x v="156"/>
    <n v="173"/>
    <s v="正常"/>
  </r>
  <r>
    <s v="OD202500174"/>
    <s v="P1003"/>
    <s v="C0007"/>
    <x v="6"/>
    <x v="0"/>
    <x v="1"/>
    <x v="169"/>
    <x v="157"/>
    <n v="174"/>
    <s v="正常"/>
  </r>
  <r>
    <s v="OD202500175"/>
    <s v="P1001"/>
    <s v="C0008"/>
    <x v="7"/>
    <x v="0"/>
    <x v="0"/>
    <x v="170"/>
    <x v="158"/>
    <n v="175"/>
    <s v="正常"/>
  </r>
  <r>
    <s v="OD202500176"/>
    <s v="P1004"/>
    <s v="C0009"/>
    <x v="8"/>
    <x v="1"/>
    <x v="2"/>
    <x v="171"/>
    <x v="159"/>
    <n v="176"/>
    <s v="正常"/>
  </r>
  <r>
    <s v="OD202500177"/>
    <s v="P1004"/>
    <s v="C0010"/>
    <x v="9"/>
    <x v="1"/>
    <x v="3"/>
    <x v="172"/>
    <x v="160"/>
    <n v="177"/>
    <s v="正常"/>
  </r>
  <r>
    <s v="OD202500178"/>
    <s v="P1005"/>
    <s v="C0003"/>
    <x v="2"/>
    <x v="1"/>
    <x v="4"/>
    <x v="173"/>
    <x v="161"/>
    <n v="178"/>
    <s v="正常"/>
  </r>
  <r>
    <s v="OD202500179"/>
    <s v="P1005"/>
    <s v="C0004"/>
    <x v="3"/>
    <x v="1"/>
    <x v="1"/>
    <x v="174"/>
    <x v="162"/>
    <n v="179"/>
    <s v="正常"/>
  </r>
  <r>
    <s v="OD202500180"/>
    <s v="P1001"/>
    <s v="C0005"/>
    <x v="4"/>
    <x v="1"/>
    <x v="5"/>
    <x v="175"/>
    <x v="163"/>
    <n v="180"/>
    <s v="正常"/>
  </r>
  <r>
    <s v="OD202500181"/>
    <s v="P1002"/>
    <s v="C0001"/>
    <x v="0"/>
    <x v="0"/>
    <x v="1"/>
    <x v="176"/>
    <x v="164"/>
    <n v="181"/>
    <s v="正常"/>
  </r>
  <r>
    <s v="OD202500182"/>
    <s v="P1003"/>
    <s v="C0002"/>
    <x v="1"/>
    <x v="1"/>
    <x v="2"/>
    <x v="177"/>
    <x v="165"/>
    <n v="182"/>
    <s v="正常"/>
  </r>
  <r>
    <s v="OD202500183"/>
    <s v="P1004"/>
    <s v="C0001"/>
    <x v="0"/>
    <x v="0"/>
    <x v="0"/>
    <x v="178"/>
    <x v="166"/>
    <n v="183"/>
    <s v="正常"/>
  </r>
  <r>
    <s v="OD202500184"/>
    <s v="P1005"/>
    <s v="C0003"/>
    <x v="2"/>
    <x v="1"/>
    <x v="0"/>
    <x v="179"/>
    <x v="167"/>
    <n v="184"/>
    <s v="正常"/>
  </r>
  <r>
    <s v="OD202500185"/>
    <s v="P1001"/>
    <s v="C0004"/>
    <x v="3"/>
    <x v="1"/>
    <x v="1"/>
    <x v="180"/>
    <x v="168"/>
    <n v="185"/>
    <s v="正常"/>
  </r>
  <r>
    <s v="OD202500186"/>
    <s v="P1002"/>
    <s v="C0005"/>
    <x v="4"/>
    <x v="1"/>
    <x v="0"/>
    <x v="181"/>
    <x v="169"/>
    <n v="186"/>
    <s v="正常"/>
  </r>
  <r>
    <s v="OD202500187"/>
    <s v="P1003"/>
    <s v="C0002"/>
    <x v="1"/>
    <x v="1"/>
    <x v="2"/>
    <x v="182"/>
    <x v="170"/>
    <n v="187"/>
    <s v="正常"/>
  </r>
  <r>
    <s v="OD202500188"/>
    <s v="P1004"/>
    <s v="C0006"/>
    <x v="5"/>
    <x v="1"/>
    <x v="3"/>
    <x v="183"/>
    <x v="171"/>
    <n v="188"/>
    <s v="正常"/>
  </r>
  <r>
    <s v="OD202500189"/>
    <s v="P1005"/>
    <s v="C0007"/>
    <x v="6"/>
    <x v="0"/>
    <x v="4"/>
    <x v="179"/>
    <x v="172"/>
    <n v="189"/>
    <s v="正常"/>
  </r>
  <r>
    <s v="OD202500190"/>
    <s v="P1001"/>
    <s v="C0008"/>
    <x v="7"/>
    <x v="0"/>
    <x v="1"/>
    <x v="184"/>
    <x v="173"/>
    <n v="190"/>
    <s v="正常"/>
  </r>
  <r>
    <s v="OD202500191"/>
    <s v="P1001"/>
    <s v="C0009"/>
    <x v="8"/>
    <x v="1"/>
    <x v="5"/>
    <x v="185"/>
    <x v="174"/>
    <n v="191"/>
    <s v="正常"/>
  </r>
  <r>
    <s v="OD202500192"/>
    <s v="P1002"/>
    <s v="C0010"/>
    <x v="9"/>
    <x v="1"/>
    <x v="1"/>
    <x v="186"/>
    <x v="175"/>
    <n v="192"/>
    <s v="正常"/>
  </r>
  <r>
    <s v="OD202500193"/>
    <s v="P1002"/>
    <s v="C0003"/>
    <x v="2"/>
    <x v="1"/>
    <x v="2"/>
    <x v="187"/>
    <x v="176"/>
    <n v="193"/>
    <s v="正常"/>
  </r>
  <r>
    <s v="OD202500194"/>
    <s v="P1003"/>
    <s v="C0004"/>
    <x v="3"/>
    <x v="1"/>
    <x v="0"/>
    <x v="188"/>
    <x v="177"/>
    <n v="194"/>
    <s v="正常"/>
  </r>
  <r>
    <s v="OD202500195"/>
    <s v="P1003"/>
    <s v="C0005"/>
    <x v="4"/>
    <x v="1"/>
    <x v="3"/>
    <x v="189"/>
    <x v="178"/>
    <n v="195"/>
    <s v="正常"/>
  </r>
  <r>
    <s v="OD202500196"/>
    <s v="P1001"/>
    <s v="C0001"/>
    <x v="0"/>
    <x v="0"/>
    <x v="2"/>
    <x v="190"/>
    <x v="179"/>
    <n v="196"/>
    <s v="正常"/>
  </r>
  <r>
    <s v="OD202500197"/>
    <s v="P1004"/>
    <s v="C0002"/>
    <x v="1"/>
    <x v="1"/>
    <x v="3"/>
    <x v="191"/>
    <x v="180"/>
    <n v="197"/>
    <s v="正常"/>
  </r>
  <r>
    <s v="OD202500198"/>
    <s v="P1004"/>
    <s v="C0001"/>
    <x v="0"/>
    <x v="0"/>
    <x v="4"/>
    <x v="192"/>
    <x v="181"/>
    <n v="198"/>
    <s v="正常"/>
  </r>
  <r>
    <s v="OD202500199"/>
    <s v="P1005"/>
    <s v="C0003"/>
    <x v="2"/>
    <x v="1"/>
    <x v="5"/>
    <x v="193"/>
    <x v="182"/>
    <n v="199"/>
    <s v="正常"/>
  </r>
  <r>
    <s v="OD202500200"/>
    <s v="P1005"/>
    <s v="C0004"/>
    <x v="3"/>
    <x v="1"/>
    <x v="1"/>
    <x v="194"/>
    <x v="183"/>
    <n v="200"/>
    <s v="正常"/>
  </r>
  <r>
    <s v="OD202500201"/>
    <s v="P1001"/>
    <s v="C0005"/>
    <x v="4"/>
    <x v="1"/>
    <x v="2"/>
    <x v="195"/>
    <x v="184"/>
    <n v="201"/>
    <s v="正常"/>
  </r>
  <r>
    <s v="OD202500202"/>
    <s v="P1002"/>
    <s v="C0002"/>
    <x v="1"/>
    <x v="1"/>
    <x v="0"/>
    <x v="196"/>
    <x v="185"/>
    <n v="202"/>
    <s v="正常"/>
  </r>
  <r>
    <s v="OD202500203"/>
    <s v="P1003"/>
    <s v="C0006"/>
    <x v="5"/>
    <x v="1"/>
    <x v="0"/>
    <x v="197"/>
    <x v="186"/>
    <n v="203"/>
    <s v="正常"/>
  </r>
  <r>
    <s v="OD202500204"/>
    <s v="P1004"/>
    <s v="C0007"/>
    <x v="6"/>
    <x v="0"/>
    <x v="1"/>
    <x v="198"/>
    <x v="187"/>
    <n v="204"/>
    <s v="正常"/>
  </r>
  <r>
    <s v="OD202500205"/>
    <s v="P1005"/>
    <s v="C0008"/>
    <x v="7"/>
    <x v="0"/>
    <x v="0"/>
    <x v="199"/>
    <x v="188"/>
    <n v="205"/>
    <s v="正常"/>
  </r>
  <r>
    <s v="OD202500206"/>
    <s v="P1001"/>
    <s v="C0009"/>
    <x v="8"/>
    <x v="1"/>
    <x v="1"/>
    <x v="200"/>
    <x v="189"/>
    <n v="206"/>
    <s v="正常"/>
  </r>
  <r>
    <s v="OD202500207"/>
    <s v="P1002"/>
    <s v="C0010"/>
    <x v="9"/>
    <x v="1"/>
    <x v="0"/>
    <x v="201"/>
    <x v="190"/>
    <n v="207"/>
    <s v="正常"/>
  </r>
  <r>
    <s v="OD202500208"/>
    <s v="P1003"/>
    <s v="C0003"/>
    <x v="2"/>
    <x v="1"/>
    <x v="2"/>
    <x v="202"/>
    <x v="191"/>
    <n v="208"/>
    <s v="正常"/>
  </r>
  <r>
    <s v="OD202500209"/>
    <s v="P1004"/>
    <s v="C0004"/>
    <x v="3"/>
    <x v="1"/>
    <x v="3"/>
    <x v="203"/>
    <x v="192"/>
    <n v="209"/>
    <s v="正常"/>
  </r>
  <r>
    <s v="OD202500210"/>
    <s v="P1005"/>
    <s v="C0005"/>
    <x v="4"/>
    <x v="1"/>
    <x v="4"/>
    <x v="175"/>
    <x v="193"/>
    <n v="210"/>
    <s v="正常"/>
  </r>
  <r>
    <s v="OD202500211"/>
    <s v="P1001"/>
    <s v="C0001"/>
    <x v="0"/>
    <x v="0"/>
    <x v="1"/>
    <x v="62"/>
    <x v="194"/>
    <n v="211"/>
    <s v="正常"/>
  </r>
  <r>
    <s v="OD202500212"/>
    <s v="P1001"/>
    <s v="C0002"/>
    <x v="1"/>
    <x v="1"/>
    <x v="5"/>
    <x v="204"/>
    <x v="195"/>
    <n v="212"/>
    <s v="正常"/>
  </r>
  <r>
    <s v="OD202500213"/>
    <s v="P1002"/>
    <s v="C0001"/>
    <x v="0"/>
    <x v="0"/>
    <x v="1"/>
    <x v="205"/>
    <x v="196"/>
    <n v="213"/>
    <s v="正常"/>
  </r>
  <r>
    <s v="OD202500214"/>
    <s v="P1002"/>
    <s v="C0003"/>
    <x v="2"/>
    <x v="1"/>
    <x v="2"/>
    <x v="206"/>
    <x v="197"/>
    <n v="214"/>
    <s v="正常"/>
  </r>
  <r>
    <s v="OD202500215"/>
    <s v="P1003"/>
    <s v="C0004"/>
    <x v="3"/>
    <x v="1"/>
    <x v="0"/>
    <x v="207"/>
    <x v="198"/>
    <n v="215"/>
    <s v="正常"/>
  </r>
  <r>
    <s v="OD202500216"/>
    <s v="P1003"/>
    <s v="C0005"/>
    <x v="4"/>
    <x v="1"/>
    <x v="3"/>
    <x v="208"/>
    <x v="199"/>
    <n v="216"/>
    <s v="正常"/>
  </r>
  <r>
    <s v="OD202500217"/>
    <s v="P1001"/>
    <s v="C0002"/>
    <x v="1"/>
    <x v="1"/>
    <x v="2"/>
    <x v="209"/>
    <x v="200"/>
    <n v="217"/>
    <s v="正常"/>
  </r>
  <r>
    <s v="OD202500218"/>
    <s v="P1004"/>
    <s v="C0006"/>
    <x v="5"/>
    <x v="1"/>
    <x v="3"/>
    <x v="210"/>
    <x v="201"/>
    <n v="218"/>
    <s v="正常"/>
  </r>
  <r>
    <s v="OD202500219"/>
    <s v="P1004"/>
    <s v="C0007"/>
    <x v="6"/>
    <x v="0"/>
    <x v="4"/>
    <x v="211"/>
    <x v="202"/>
    <n v="219"/>
    <s v="正常"/>
  </r>
  <r>
    <s v="OD202500220"/>
    <s v="P1005"/>
    <s v="C0008"/>
    <x v="7"/>
    <x v="0"/>
    <x v="5"/>
    <x v="212"/>
    <x v="203"/>
    <n v="220"/>
    <s v="正常"/>
  </r>
  <r>
    <s v="OD202500221"/>
    <s v="P1005"/>
    <s v="C0009"/>
    <x v="8"/>
    <x v="1"/>
    <x v="1"/>
    <x v="213"/>
    <x v="204"/>
    <n v="221"/>
    <s v="正常"/>
  </r>
  <r>
    <s v="OD202500222"/>
    <s v="P1001"/>
    <s v="C0010"/>
    <x v="9"/>
    <x v="1"/>
    <x v="2"/>
    <x v="214"/>
    <x v="205"/>
    <n v="222"/>
    <s v="正常"/>
  </r>
  <r>
    <s v="OD202500223"/>
    <s v="P1002"/>
    <s v="C0003"/>
    <x v="2"/>
    <x v="1"/>
    <x v="0"/>
    <x v="43"/>
    <x v="206"/>
    <n v="223"/>
    <s v="正常"/>
  </r>
  <r>
    <s v="OD202500224"/>
    <s v="P1003"/>
    <s v="C0004"/>
    <x v="3"/>
    <x v="1"/>
    <x v="0"/>
    <x v="215"/>
    <x v="207"/>
    <n v="224"/>
    <s v="正常"/>
  </r>
  <r>
    <s v="OD202500225"/>
    <s v="P1004"/>
    <s v="C0005"/>
    <x v="4"/>
    <x v="1"/>
    <x v="1"/>
    <x v="26"/>
    <x v="208"/>
    <n v="225"/>
    <s v="正常"/>
  </r>
  <r>
    <s v="OD202500226"/>
    <s v="P1005"/>
    <s v="C0001"/>
    <x v="0"/>
    <x v="0"/>
    <x v="0"/>
    <x v="216"/>
    <x v="209"/>
    <n v="226"/>
    <s v="正常"/>
  </r>
  <r>
    <s v="OD202500227"/>
    <s v="P1001"/>
    <s v="C0002"/>
    <x v="1"/>
    <x v="1"/>
    <x v="2"/>
    <x v="217"/>
    <x v="210"/>
    <n v="227"/>
    <s v="正常"/>
  </r>
  <r>
    <s v="OD202500228"/>
    <s v="P1002"/>
    <s v="C0001"/>
    <x v="0"/>
    <x v="0"/>
    <x v="3"/>
    <x v="218"/>
    <x v="211"/>
    <n v="228"/>
    <s v="正常"/>
  </r>
  <r>
    <s v="OD202500229"/>
    <s v="P1003"/>
    <s v="C0003"/>
    <x v="2"/>
    <x v="1"/>
    <x v="4"/>
    <x v="219"/>
    <x v="212"/>
    <n v="229"/>
    <s v="正常"/>
  </r>
  <r>
    <s v="OD202500230"/>
    <s v="P1004"/>
    <s v="C0004"/>
    <x v="3"/>
    <x v="1"/>
    <x v="1"/>
    <x v="220"/>
    <x v="213"/>
    <n v="230"/>
    <s v="正常"/>
  </r>
  <r>
    <s v="OD202500231"/>
    <s v="P1005"/>
    <s v="C0005"/>
    <x v="4"/>
    <x v="1"/>
    <x v="5"/>
    <x v="221"/>
    <x v="214"/>
    <n v="231"/>
    <s v="正常"/>
  </r>
  <r>
    <s v="OD202500232"/>
    <s v="P1001"/>
    <s v="C0002"/>
    <x v="1"/>
    <x v="1"/>
    <x v="1"/>
    <x v="222"/>
    <x v="215"/>
    <n v="232"/>
    <s v="正常"/>
  </r>
  <r>
    <s v="OD202500233"/>
    <s v="P1001"/>
    <s v="C0006"/>
    <x v="5"/>
    <x v="1"/>
    <x v="2"/>
    <x v="223"/>
    <x v="216"/>
    <n v="233"/>
    <s v="正常"/>
  </r>
  <r>
    <s v="OD202500234"/>
    <s v="P1002"/>
    <s v="C0007"/>
    <x v="6"/>
    <x v="0"/>
    <x v="0"/>
    <x v="224"/>
    <x v="217"/>
    <n v="234"/>
    <s v="正常"/>
  </r>
  <r>
    <s v="OD202500235"/>
    <s v="P1002"/>
    <s v="C0008"/>
    <x v="7"/>
    <x v="0"/>
    <x v="0"/>
    <x v="225"/>
    <x v="218"/>
    <n v="235"/>
    <s v="正常"/>
  </r>
  <r>
    <s v="OD202500236"/>
    <s v="P1003"/>
    <s v="C0009"/>
    <x v="8"/>
    <x v="1"/>
    <x v="1"/>
    <x v="226"/>
    <x v="219"/>
    <n v="236"/>
    <s v="正常"/>
  </r>
  <r>
    <s v="OD202500237"/>
    <s v="P1003"/>
    <s v="C0010"/>
    <x v="9"/>
    <x v="1"/>
    <x v="0"/>
    <x v="227"/>
    <x v="220"/>
    <n v="237"/>
    <s v="正常"/>
  </r>
  <r>
    <s v="OD202500238"/>
    <s v="P1001"/>
    <s v="C0003"/>
    <x v="2"/>
    <x v="1"/>
    <x v="2"/>
    <x v="228"/>
    <x v="221"/>
    <n v="238"/>
    <s v="正常"/>
  </r>
  <r>
    <s v="OD202500239"/>
    <s v="P1004"/>
    <s v="C0004"/>
    <x v="3"/>
    <x v="1"/>
    <x v="3"/>
    <x v="229"/>
    <x v="222"/>
    <n v="239"/>
    <s v="正常"/>
  </r>
  <r>
    <s v="OD202500240"/>
    <s v="P1004"/>
    <s v="C0005"/>
    <x v="4"/>
    <x v="1"/>
    <x v="4"/>
    <x v="230"/>
    <x v="223"/>
    <n v="240"/>
    <s v="正常"/>
  </r>
  <r>
    <s v="OD202500241"/>
    <s v="P1005"/>
    <s v="C0001"/>
    <x v="0"/>
    <x v="0"/>
    <x v="1"/>
    <x v="231"/>
    <x v="224"/>
    <n v="241"/>
    <s v="正常"/>
  </r>
  <r>
    <s v="OD202500242"/>
    <s v="P1005"/>
    <s v="C0002"/>
    <x v="1"/>
    <x v="1"/>
    <x v="5"/>
    <x v="232"/>
    <x v="225"/>
    <n v="242"/>
    <s v="正常"/>
  </r>
  <r>
    <s v="OD202500243"/>
    <s v="P1001"/>
    <s v="C0001"/>
    <x v="0"/>
    <x v="0"/>
    <x v="1"/>
    <x v="233"/>
    <x v="226"/>
    <n v="243"/>
    <s v="正常"/>
  </r>
  <r>
    <s v="OD202500244"/>
    <s v="P1002"/>
    <s v="C0003"/>
    <x v="2"/>
    <x v="1"/>
    <x v="2"/>
    <x v="234"/>
    <x v="227"/>
    <n v="244"/>
    <s v="正常"/>
  </r>
  <r>
    <s v="OD202500245"/>
    <s v="P1003"/>
    <s v="C0004"/>
    <x v="3"/>
    <x v="1"/>
    <x v="0"/>
    <x v="235"/>
    <x v="228"/>
    <n v="245"/>
    <s v="正常"/>
  </r>
  <r>
    <s v="OD202500246"/>
    <s v="P1004"/>
    <s v="C0005"/>
    <x v="4"/>
    <x v="1"/>
    <x v="3"/>
    <x v="236"/>
    <x v="229"/>
    <n v="246"/>
    <s v="正常"/>
  </r>
  <r>
    <s v="OD202500247"/>
    <s v="P1005"/>
    <s v="C0002"/>
    <x v="1"/>
    <x v="1"/>
    <x v="2"/>
    <x v="237"/>
    <x v="230"/>
    <n v="247"/>
    <s v="正常"/>
  </r>
  <r>
    <s v="OD202500248"/>
    <s v="P1001"/>
    <s v="C0006"/>
    <x v="5"/>
    <x v="1"/>
    <x v="3"/>
    <x v="238"/>
    <x v="231"/>
    <n v="248"/>
    <s v="正常"/>
  </r>
  <r>
    <s v="OD202500249"/>
    <s v="P1002"/>
    <s v="C0007"/>
    <x v="6"/>
    <x v="0"/>
    <x v="4"/>
    <x v="239"/>
    <x v="232"/>
    <n v="249"/>
    <s v="正常"/>
  </r>
  <r>
    <s v="OD202500250"/>
    <s v="P1003"/>
    <s v="C0008"/>
    <x v="7"/>
    <x v="0"/>
    <x v="5"/>
    <x v="240"/>
    <x v="233"/>
    <n v="250"/>
    <s v="正常"/>
  </r>
  <r>
    <s v="OD202500251"/>
    <s v="P1004"/>
    <s v="C0009"/>
    <x v="8"/>
    <x v="1"/>
    <x v="1"/>
    <x v="241"/>
    <x v="234"/>
    <n v="251"/>
    <s v="正常"/>
  </r>
  <r>
    <s v="OD202500252"/>
    <s v="P1005"/>
    <s v="C0010"/>
    <x v="9"/>
    <x v="1"/>
    <x v="2"/>
    <x v="242"/>
    <x v="235"/>
    <n v="252"/>
    <s v="正常"/>
  </r>
  <r>
    <s v="OD202500253"/>
    <s v="P1001"/>
    <s v="C0003"/>
    <x v="2"/>
    <x v="1"/>
    <x v="0"/>
    <x v="243"/>
    <x v="236"/>
    <n v="253"/>
    <s v="正常"/>
  </r>
  <r>
    <s v="OD202500254"/>
    <s v="P1001"/>
    <s v="C0004"/>
    <x v="3"/>
    <x v="1"/>
    <x v="0"/>
    <x v="244"/>
    <x v="237"/>
    <n v="254"/>
    <s v="正常"/>
  </r>
  <r>
    <s v="OD202500255"/>
    <s v="P1002"/>
    <s v="C0005"/>
    <x v="4"/>
    <x v="1"/>
    <x v="1"/>
    <x v="245"/>
    <x v="238"/>
    <n v="255"/>
    <s v="正常"/>
  </r>
  <r>
    <s v="OD202500256"/>
    <s v="P1002"/>
    <s v="C0001"/>
    <x v="0"/>
    <x v="0"/>
    <x v="0"/>
    <x v="246"/>
    <x v="239"/>
    <n v="256"/>
    <s v="正常"/>
  </r>
  <r>
    <s v="OD202500257"/>
    <s v="P1003"/>
    <s v="C0002"/>
    <x v="1"/>
    <x v="1"/>
    <x v="1"/>
    <x v="247"/>
    <x v="240"/>
    <n v="257"/>
    <s v="正常"/>
  </r>
  <r>
    <s v="OD202500258"/>
    <s v="P1003"/>
    <s v="C0001"/>
    <x v="0"/>
    <x v="0"/>
    <x v="0"/>
    <x v="248"/>
    <x v="241"/>
    <n v="258"/>
    <s v="正常"/>
  </r>
  <r>
    <s v="OD202500259"/>
    <s v="P1001"/>
    <s v="C0003"/>
    <x v="2"/>
    <x v="1"/>
    <x v="2"/>
    <x v="249"/>
    <x v="242"/>
    <n v="259"/>
    <s v="正常"/>
  </r>
  <r>
    <s v="OD202500260"/>
    <s v="P1004"/>
    <s v="C0004"/>
    <x v="3"/>
    <x v="1"/>
    <x v="3"/>
    <x v="250"/>
    <x v="243"/>
    <n v="260"/>
    <s v="正常"/>
  </r>
  <r>
    <s v="OD202500261"/>
    <s v="P1004"/>
    <s v="C0005"/>
    <x v="4"/>
    <x v="1"/>
    <x v="4"/>
    <x v="251"/>
    <x v="244"/>
    <n v="261"/>
    <s v="正常"/>
  </r>
  <r>
    <s v="OD202500262"/>
    <s v="P1005"/>
    <s v="C0002"/>
    <x v="1"/>
    <x v="1"/>
    <x v="1"/>
    <x v="252"/>
    <x v="245"/>
    <n v="262"/>
    <s v="正常"/>
  </r>
  <r>
    <s v="OD202500263"/>
    <s v="P1005"/>
    <s v="C0006"/>
    <x v="5"/>
    <x v="1"/>
    <x v="5"/>
    <x v="253"/>
    <x v="246"/>
    <n v="263"/>
    <s v="正常"/>
  </r>
  <r>
    <s v="OD202500264"/>
    <s v="P1001"/>
    <s v="C0007"/>
    <x v="6"/>
    <x v="0"/>
    <x v="1"/>
    <x v="254"/>
    <x v="247"/>
    <n v="264"/>
    <s v="正常"/>
  </r>
  <r>
    <s v="OD202500265"/>
    <s v="P1002"/>
    <s v="C0008"/>
    <x v="7"/>
    <x v="0"/>
    <x v="2"/>
    <x v="255"/>
    <x v="248"/>
    <n v="265"/>
    <s v="正常"/>
  </r>
  <r>
    <s v="OD202500266"/>
    <s v="P1003"/>
    <s v="C0009"/>
    <x v="8"/>
    <x v="1"/>
    <x v="0"/>
    <x v="256"/>
    <x v="249"/>
    <n v="266"/>
    <s v="正常"/>
  </r>
  <r>
    <s v="OD202500267"/>
    <s v="P1004"/>
    <s v="C0010"/>
    <x v="9"/>
    <x v="1"/>
    <x v="3"/>
    <x v="257"/>
    <x v="250"/>
    <n v="267"/>
    <s v="正常"/>
  </r>
  <r>
    <s v="OD202500268"/>
    <s v="P1005"/>
    <s v="C0003"/>
    <x v="2"/>
    <x v="1"/>
    <x v="2"/>
    <x v="258"/>
    <x v="251"/>
    <n v="268"/>
    <s v="正常"/>
  </r>
  <r>
    <s v="OD202500269"/>
    <s v="P1001"/>
    <s v="C0004"/>
    <x v="3"/>
    <x v="1"/>
    <x v="3"/>
    <x v="259"/>
    <x v="252"/>
    <n v="269"/>
    <s v="正常"/>
  </r>
  <r>
    <s v="OD202500270"/>
    <s v="P1002"/>
    <s v="C0005"/>
    <x v="4"/>
    <x v="1"/>
    <x v="4"/>
    <x v="260"/>
    <x v="253"/>
    <n v="270"/>
    <s v="正常"/>
  </r>
  <r>
    <s v="OD202500271"/>
    <s v="P1003"/>
    <s v="C0001"/>
    <x v="0"/>
    <x v="0"/>
    <x v="5"/>
    <x v="261"/>
    <x v="254"/>
    <n v="271"/>
    <s v="正常"/>
  </r>
  <r>
    <s v="OD202500272"/>
    <s v="P1004"/>
    <s v="C0002"/>
    <x v="1"/>
    <x v="1"/>
    <x v="1"/>
    <x v="262"/>
    <x v="255"/>
    <n v="272"/>
    <s v="正常"/>
  </r>
  <r>
    <s v="OD202500273"/>
    <s v="P1005"/>
    <s v="C0001"/>
    <x v="0"/>
    <x v="0"/>
    <x v="2"/>
    <x v="263"/>
    <x v="256"/>
    <n v="273"/>
    <s v="正常"/>
  </r>
  <r>
    <s v="OD202500274"/>
    <s v="P1001"/>
    <s v="C0003"/>
    <x v="2"/>
    <x v="1"/>
    <x v="0"/>
    <x v="264"/>
    <x v="257"/>
    <n v="274"/>
    <s v="正常"/>
  </r>
  <r>
    <s v="OD202500275"/>
    <s v="P1001"/>
    <s v="C0004"/>
    <x v="3"/>
    <x v="1"/>
    <x v="0"/>
    <x v="265"/>
    <x v="258"/>
    <n v="275"/>
    <s v="正常"/>
  </r>
  <r>
    <s v="OD202500276"/>
    <s v="P1002"/>
    <s v="C0005"/>
    <x v="4"/>
    <x v="1"/>
    <x v="1"/>
    <x v="166"/>
    <x v="259"/>
    <n v="276"/>
    <s v="正常"/>
  </r>
  <r>
    <s v="OD202500277"/>
    <s v="P1002"/>
    <s v="C0002"/>
    <x v="1"/>
    <x v="1"/>
    <x v="0"/>
    <x v="266"/>
    <x v="260"/>
    <n v="277"/>
    <s v="正常"/>
  </r>
  <r>
    <s v="OD202500278"/>
    <s v="P1003"/>
    <s v="C0006"/>
    <x v="5"/>
    <x v="1"/>
    <x v="2"/>
    <x v="267"/>
    <x v="261"/>
    <n v="278"/>
    <s v="正常"/>
  </r>
  <r>
    <s v="OD202500279"/>
    <s v="P1003"/>
    <s v="C0007"/>
    <x v="6"/>
    <x v="0"/>
    <x v="3"/>
    <x v="268"/>
    <x v="262"/>
    <n v="279"/>
    <s v="正常"/>
  </r>
  <r>
    <s v="OD202500280"/>
    <s v="P1001"/>
    <s v="C0008"/>
    <x v="7"/>
    <x v="0"/>
    <x v="4"/>
    <x v="269"/>
    <x v="263"/>
    <n v="280"/>
    <s v="正常"/>
  </r>
  <r>
    <s v="OD202500281"/>
    <s v="P1004"/>
    <s v="C0009"/>
    <x v="8"/>
    <x v="1"/>
    <x v="1"/>
    <x v="270"/>
    <x v="264"/>
    <n v="281"/>
    <s v="正常"/>
  </r>
  <r>
    <s v="OD202500282"/>
    <s v="P1004"/>
    <s v="C0010"/>
    <x v="9"/>
    <x v="1"/>
    <x v="5"/>
    <x v="271"/>
    <x v="265"/>
    <n v="282"/>
    <s v="正常"/>
  </r>
  <r>
    <s v="OD202500283"/>
    <s v="P1005"/>
    <s v="C0003"/>
    <x v="2"/>
    <x v="1"/>
    <x v="1"/>
    <x v="272"/>
    <x v="266"/>
    <n v="283"/>
    <s v="正常"/>
  </r>
  <r>
    <s v="OD202500284"/>
    <s v="P1005"/>
    <s v="C0004"/>
    <x v="3"/>
    <x v="1"/>
    <x v="2"/>
    <x v="13"/>
    <x v="267"/>
    <n v="284"/>
    <s v="正常"/>
  </r>
  <r>
    <s v="OD202500285"/>
    <s v="P1001"/>
    <s v="C0005"/>
    <x v="4"/>
    <x v="1"/>
    <x v="0"/>
    <x v="273"/>
    <x v="268"/>
    <n v="285"/>
    <s v="正常"/>
  </r>
  <r>
    <s v="OD202500286"/>
    <s v="P1002"/>
    <s v="C0001"/>
    <x v="0"/>
    <x v="0"/>
    <x v="0"/>
    <x v="85"/>
    <x v="269"/>
    <n v="286"/>
    <s v="正常"/>
  </r>
  <r>
    <s v="OD202500287"/>
    <s v="P1003"/>
    <s v="C0002"/>
    <x v="1"/>
    <x v="1"/>
    <x v="1"/>
    <x v="274"/>
    <x v="270"/>
    <n v="287"/>
    <s v="正常"/>
  </r>
  <r>
    <s v="OD202500288"/>
    <s v="P1004"/>
    <s v="C0001"/>
    <x v="0"/>
    <x v="0"/>
    <x v="0"/>
    <x v="275"/>
    <x v="271"/>
    <n v="288"/>
    <s v="正常"/>
  </r>
  <r>
    <s v="OD202500289"/>
    <s v="P1005"/>
    <s v="C0003"/>
    <x v="2"/>
    <x v="1"/>
    <x v="2"/>
    <x v="276"/>
    <x v="272"/>
    <n v="289"/>
    <s v="正常"/>
  </r>
  <r>
    <s v="OD202500290"/>
    <s v="P1001"/>
    <s v="C0004"/>
    <x v="3"/>
    <x v="1"/>
    <x v="3"/>
    <x v="277"/>
    <x v="273"/>
    <n v="290"/>
    <s v="正常"/>
  </r>
  <r>
    <s v="OD202500291"/>
    <s v="P1002"/>
    <s v="C0005"/>
    <x v="4"/>
    <x v="1"/>
    <x v="4"/>
    <x v="278"/>
    <x v="274"/>
    <n v="291"/>
    <s v="正常"/>
  </r>
  <r>
    <s v="OD202500292"/>
    <s v="P1003"/>
    <s v="C0002"/>
    <x v="1"/>
    <x v="1"/>
    <x v="1"/>
    <x v="279"/>
    <x v="275"/>
    <n v="292"/>
    <s v="正常"/>
  </r>
  <r>
    <s v="OD202500293"/>
    <s v="P1004"/>
    <s v="C0006"/>
    <x v="5"/>
    <x v="1"/>
    <x v="5"/>
    <x v="280"/>
    <x v="276"/>
    <n v="293"/>
    <s v="正常"/>
  </r>
  <r>
    <s v="OD202500294"/>
    <s v="P1005"/>
    <s v="C0007"/>
    <x v="6"/>
    <x v="0"/>
    <x v="1"/>
    <x v="281"/>
    <x v="277"/>
    <n v="294"/>
    <s v="正常"/>
  </r>
  <r>
    <s v="OD202500295"/>
    <s v="P1001"/>
    <s v="C0008"/>
    <x v="7"/>
    <x v="0"/>
    <x v="2"/>
    <x v="282"/>
    <x v="278"/>
    <n v="295"/>
    <s v="正常"/>
  </r>
  <r>
    <s v="OD202500296"/>
    <s v="P1001"/>
    <s v="C0009"/>
    <x v="8"/>
    <x v="1"/>
    <x v="0"/>
    <x v="283"/>
    <x v="279"/>
    <n v="296"/>
    <s v="正常"/>
  </r>
  <r>
    <s v="OD202500297"/>
    <s v="P1002"/>
    <s v="C0010"/>
    <x v="9"/>
    <x v="1"/>
    <x v="3"/>
    <x v="284"/>
    <x v="280"/>
    <n v="297"/>
    <s v="正常"/>
  </r>
  <r>
    <s v="OD202500298"/>
    <s v="P1002"/>
    <s v="C0003"/>
    <x v="2"/>
    <x v="1"/>
    <x v="2"/>
    <x v="285"/>
    <x v="281"/>
    <n v="298"/>
    <s v="正常"/>
  </r>
  <r>
    <s v="OD202500299"/>
    <s v="P1003"/>
    <s v="C0004"/>
    <x v="3"/>
    <x v="1"/>
    <x v="3"/>
    <x v="286"/>
    <x v="282"/>
    <n v="299"/>
    <s v="正常"/>
  </r>
  <r>
    <s v="OD202500300"/>
    <s v="P1003"/>
    <s v="C0005"/>
    <x v="4"/>
    <x v="1"/>
    <x v="4"/>
    <x v="287"/>
    <x v="283"/>
    <n v="300"/>
    <s v="正常"/>
  </r>
  <r>
    <s v="OD202500301"/>
    <s v="P1001"/>
    <s v="C0001"/>
    <x v="0"/>
    <x v="0"/>
    <x v="5"/>
    <x v="288"/>
    <x v="284"/>
    <n v="301"/>
    <s v="正常"/>
  </r>
  <r>
    <s v="OD202500302"/>
    <s v="P1004"/>
    <s v="C0002"/>
    <x v="1"/>
    <x v="1"/>
    <x v="1"/>
    <x v="289"/>
    <x v="285"/>
    <n v="302"/>
    <s v="正常"/>
  </r>
  <r>
    <s v="OD202500303"/>
    <s v="P1012"/>
    <s v="C0001"/>
    <x v="10"/>
    <x v="2"/>
    <x v="2"/>
    <x v="290"/>
    <x v="286"/>
    <n v="303"/>
    <s v="异常"/>
  </r>
  <r>
    <s v="OD202500304"/>
    <s v="P1003"/>
    <s v="C0005"/>
    <x v="4"/>
    <x v="1"/>
    <x v="1"/>
    <x v="291"/>
    <x v="287"/>
    <n v="304"/>
    <s v="正常"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  <r>
    <m/>
    <m/>
    <m/>
    <x v="11"/>
    <x v="3"/>
    <x v="6"/>
    <x v="292"/>
    <x v="28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 chartFormat="10">
  <location ref="Y30:Z42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dataField="1" showAll="0">
      <items count="294">
        <item x="53"/>
        <item x="41"/>
        <item x="268"/>
        <item x="243"/>
        <item x="43"/>
        <item x="19"/>
        <item x="282"/>
        <item x="40"/>
        <item x="189"/>
        <item x="210"/>
        <item x="103"/>
        <item x="85"/>
        <item x="290"/>
        <item x="46"/>
        <item x="167"/>
        <item x="119"/>
        <item x="104"/>
        <item x="165"/>
        <item x="236"/>
        <item x="88"/>
        <item x="283"/>
        <item x="110"/>
        <item x="222"/>
        <item x="58"/>
        <item x="250"/>
        <item x="160"/>
        <item x="204"/>
        <item x="177"/>
        <item x="142"/>
        <item x="31"/>
        <item x="145"/>
        <item x="118"/>
        <item x="258"/>
        <item x="10"/>
        <item x="129"/>
        <item x="28"/>
        <item x="47"/>
        <item x="69"/>
        <item x="164"/>
        <item x="246"/>
        <item x="170"/>
        <item x="7"/>
        <item x="6"/>
        <item x="54"/>
        <item x="261"/>
        <item x="86"/>
        <item x="259"/>
        <item x="229"/>
        <item x="42"/>
        <item x="288"/>
        <item x="214"/>
        <item x="180"/>
        <item x="241"/>
        <item x="147"/>
        <item x="166"/>
        <item x="286"/>
        <item x="271"/>
        <item x="195"/>
        <item x="256"/>
        <item x="263"/>
        <item x="193"/>
        <item x="159"/>
        <item x="20"/>
        <item x="139"/>
        <item x="153"/>
        <item x="212"/>
        <item x="151"/>
        <item x="175"/>
        <item x="285"/>
        <item x="134"/>
        <item x="38"/>
        <item x="266"/>
        <item x="244"/>
        <item x="213"/>
        <item x="172"/>
        <item x="12"/>
        <item x="149"/>
        <item x="141"/>
        <item x="257"/>
        <item x="81"/>
        <item x="272"/>
        <item x="55"/>
        <item x="128"/>
        <item x="198"/>
        <item x="25"/>
        <item x="253"/>
        <item x="92"/>
        <item x="123"/>
        <item x="30"/>
        <item x="18"/>
        <item x="117"/>
        <item x="223"/>
        <item x="17"/>
        <item x="183"/>
        <item x="56"/>
        <item x="242"/>
        <item x="178"/>
        <item x="115"/>
        <item x="37"/>
        <item x="232"/>
        <item x="161"/>
        <item x="248"/>
        <item x="99"/>
        <item x="61"/>
        <item x="45"/>
        <item x="197"/>
        <item x="121"/>
        <item x="137"/>
        <item x="80"/>
        <item x="144"/>
        <item x="96"/>
        <item x="274"/>
        <item x="52"/>
        <item x="59"/>
        <item x="211"/>
        <item x="150"/>
        <item x="188"/>
        <item x="8"/>
        <item x="109"/>
        <item x="273"/>
        <item x="264"/>
        <item x="71"/>
        <item x="105"/>
        <item x="3"/>
        <item x="36"/>
        <item x="186"/>
        <item x="131"/>
        <item x="48"/>
        <item x="270"/>
        <item x="0"/>
        <item x="112"/>
        <item x="94"/>
        <item x="23"/>
        <item x="132"/>
        <item x="114"/>
        <item x="191"/>
        <item x="239"/>
        <item x="202"/>
        <item x="62"/>
        <item x="1"/>
        <item x="125"/>
        <item x="26"/>
        <item x="64"/>
        <item x="50"/>
        <item x="15"/>
        <item x="217"/>
        <item x="29"/>
        <item x="245"/>
        <item x="192"/>
        <item x="169"/>
        <item x="84"/>
        <item x="224"/>
        <item x="33"/>
        <item x="275"/>
        <item x="171"/>
        <item x="83"/>
        <item x="130"/>
        <item x="200"/>
        <item x="152"/>
        <item x="65"/>
        <item x="277"/>
        <item x="91"/>
        <item x="97"/>
        <item x="93"/>
        <item x="156"/>
        <item x="278"/>
        <item x="49"/>
        <item x="173"/>
        <item x="163"/>
        <item x="228"/>
        <item x="111"/>
        <item x="113"/>
        <item x="238"/>
        <item x="240"/>
        <item x="267"/>
        <item x="11"/>
        <item x="79"/>
        <item x="230"/>
        <item x="269"/>
        <item x="194"/>
        <item x="208"/>
        <item x="174"/>
        <item x="27"/>
        <item x="176"/>
        <item x="120"/>
        <item x="13"/>
        <item x="4"/>
        <item x="249"/>
        <item x="190"/>
        <item x="5"/>
        <item x="68"/>
        <item x="148"/>
        <item x="287"/>
        <item x="108"/>
        <item x="207"/>
        <item x="231"/>
        <item x="235"/>
        <item x="14"/>
        <item x="22"/>
        <item x="106"/>
        <item x="146"/>
        <item x="2"/>
        <item x="77"/>
        <item x="63"/>
        <item x="254"/>
        <item x="179"/>
        <item x="100"/>
        <item x="182"/>
        <item x="73"/>
        <item x="89"/>
        <item x="196"/>
        <item x="78"/>
        <item x="70"/>
        <item x="157"/>
        <item x="107"/>
        <item x="205"/>
        <item x="247"/>
        <item x="281"/>
        <item x="162"/>
        <item x="34"/>
        <item x="32"/>
        <item x="225"/>
        <item x="98"/>
        <item x="291"/>
        <item x="67"/>
        <item x="233"/>
        <item x="122"/>
        <item x="187"/>
        <item x="60"/>
        <item x="76"/>
        <item x="136"/>
        <item x="216"/>
        <item x="24"/>
        <item x="184"/>
        <item x="154"/>
        <item x="262"/>
        <item x="203"/>
        <item x="140"/>
        <item x="90"/>
        <item x="135"/>
        <item x="276"/>
        <item x="75"/>
        <item x="219"/>
        <item x="227"/>
        <item x="201"/>
        <item x="255"/>
        <item x="209"/>
        <item x="181"/>
        <item x="9"/>
        <item x="185"/>
        <item x="126"/>
        <item x="95"/>
        <item x="234"/>
        <item x="87"/>
        <item x="289"/>
        <item x="226"/>
        <item x="82"/>
        <item x="218"/>
        <item x="51"/>
        <item x="279"/>
        <item x="206"/>
        <item x="72"/>
        <item x="265"/>
        <item x="215"/>
        <item x="66"/>
        <item x="199"/>
        <item x="44"/>
        <item x="143"/>
        <item x="155"/>
        <item x="127"/>
        <item x="251"/>
        <item x="124"/>
        <item x="133"/>
        <item x="221"/>
        <item x="220"/>
        <item x="39"/>
        <item x="101"/>
        <item x="284"/>
        <item x="57"/>
        <item x="168"/>
        <item x="16"/>
        <item x="237"/>
        <item x="280"/>
        <item x="116"/>
        <item x="260"/>
        <item x="138"/>
        <item x="35"/>
        <item x="21"/>
        <item x="252"/>
        <item x="74"/>
        <item x="102"/>
        <item x="158"/>
        <item x="292"/>
        <item t="default"/>
      </items>
    </pivotField>
    <pivotField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Col="0" dragToPage="0" dragToRow="0" defaultSubtotal="0"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求和项:订单金额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8" useAutoFormatting="1" indent="0" outline="1" outlineData="1" showDrill="1" multipleFieldFilters="0" chartFormat="9">
  <location ref="AC16:AD24" firstHeaderRow="1" firstDataRow="1" firstDataCol="1"/>
  <pivotFields count="13">
    <pivotField showAll="0"/>
    <pivotField showAll="0"/>
    <pivotField showAll="0"/>
    <pivotField showAll="0">
      <items count="13">
        <item x="0"/>
        <item x="3"/>
        <item x="2"/>
        <item x="6"/>
        <item x="1"/>
        <item x="7"/>
        <item x="8"/>
        <item x="10"/>
        <item x="4"/>
        <item x="5"/>
        <item x="9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axis="axisRow" showAll="0">
      <items count="8">
        <item x="0"/>
        <item x="1"/>
        <item x="2"/>
        <item x="4"/>
        <item x="5"/>
        <item x="3"/>
        <item x="6"/>
        <item t="default"/>
      </items>
    </pivotField>
    <pivotField dataField="1" showAll="0">
      <items count="294">
        <item x="53"/>
        <item x="41"/>
        <item x="268"/>
        <item x="243"/>
        <item x="43"/>
        <item x="19"/>
        <item x="282"/>
        <item x="40"/>
        <item x="189"/>
        <item x="210"/>
        <item x="103"/>
        <item x="85"/>
        <item x="290"/>
        <item x="46"/>
        <item x="167"/>
        <item x="119"/>
        <item x="104"/>
        <item x="165"/>
        <item x="236"/>
        <item x="88"/>
        <item x="283"/>
        <item x="110"/>
        <item x="222"/>
        <item x="58"/>
        <item x="250"/>
        <item x="160"/>
        <item x="204"/>
        <item x="177"/>
        <item x="142"/>
        <item x="31"/>
        <item x="145"/>
        <item x="118"/>
        <item x="258"/>
        <item x="10"/>
        <item x="129"/>
        <item x="28"/>
        <item x="47"/>
        <item x="69"/>
        <item x="164"/>
        <item x="246"/>
        <item x="170"/>
        <item x="7"/>
        <item x="6"/>
        <item x="54"/>
        <item x="261"/>
        <item x="86"/>
        <item x="259"/>
        <item x="229"/>
        <item x="42"/>
        <item x="288"/>
        <item x="214"/>
        <item x="180"/>
        <item x="241"/>
        <item x="147"/>
        <item x="166"/>
        <item x="286"/>
        <item x="271"/>
        <item x="195"/>
        <item x="256"/>
        <item x="263"/>
        <item x="193"/>
        <item x="159"/>
        <item x="20"/>
        <item x="139"/>
        <item x="153"/>
        <item x="212"/>
        <item x="151"/>
        <item x="175"/>
        <item x="285"/>
        <item x="134"/>
        <item x="38"/>
        <item x="266"/>
        <item x="244"/>
        <item x="213"/>
        <item x="172"/>
        <item x="12"/>
        <item x="149"/>
        <item x="141"/>
        <item x="257"/>
        <item x="81"/>
        <item x="272"/>
        <item x="55"/>
        <item x="128"/>
        <item x="198"/>
        <item x="25"/>
        <item x="253"/>
        <item x="92"/>
        <item x="123"/>
        <item x="30"/>
        <item x="18"/>
        <item x="117"/>
        <item x="223"/>
        <item x="17"/>
        <item x="183"/>
        <item x="56"/>
        <item x="242"/>
        <item x="178"/>
        <item x="115"/>
        <item x="37"/>
        <item x="232"/>
        <item x="161"/>
        <item x="248"/>
        <item x="99"/>
        <item x="61"/>
        <item x="45"/>
        <item x="197"/>
        <item x="121"/>
        <item x="137"/>
        <item x="80"/>
        <item x="144"/>
        <item x="96"/>
        <item x="274"/>
        <item x="52"/>
        <item x="59"/>
        <item x="211"/>
        <item x="150"/>
        <item x="188"/>
        <item x="8"/>
        <item x="109"/>
        <item x="273"/>
        <item x="264"/>
        <item x="71"/>
        <item x="105"/>
        <item x="3"/>
        <item x="36"/>
        <item x="186"/>
        <item x="131"/>
        <item x="48"/>
        <item x="270"/>
        <item x="0"/>
        <item x="112"/>
        <item x="94"/>
        <item x="23"/>
        <item x="132"/>
        <item x="114"/>
        <item x="191"/>
        <item x="239"/>
        <item x="202"/>
        <item x="62"/>
        <item x="1"/>
        <item x="125"/>
        <item x="26"/>
        <item x="64"/>
        <item x="50"/>
        <item x="15"/>
        <item x="217"/>
        <item x="29"/>
        <item x="245"/>
        <item x="192"/>
        <item x="169"/>
        <item x="84"/>
        <item x="224"/>
        <item x="33"/>
        <item x="275"/>
        <item x="171"/>
        <item x="83"/>
        <item x="130"/>
        <item x="200"/>
        <item x="152"/>
        <item x="65"/>
        <item x="277"/>
        <item x="91"/>
        <item x="97"/>
        <item x="93"/>
        <item x="156"/>
        <item x="278"/>
        <item x="49"/>
        <item x="173"/>
        <item x="163"/>
        <item x="228"/>
        <item x="111"/>
        <item x="113"/>
        <item x="238"/>
        <item x="240"/>
        <item x="267"/>
        <item x="11"/>
        <item x="79"/>
        <item x="230"/>
        <item x="269"/>
        <item x="194"/>
        <item x="208"/>
        <item x="174"/>
        <item x="27"/>
        <item x="176"/>
        <item x="120"/>
        <item x="13"/>
        <item x="4"/>
        <item x="249"/>
        <item x="190"/>
        <item x="5"/>
        <item x="68"/>
        <item x="148"/>
        <item x="287"/>
        <item x="108"/>
        <item x="207"/>
        <item x="231"/>
        <item x="235"/>
        <item x="14"/>
        <item x="22"/>
        <item x="106"/>
        <item x="146"/>
        <item x="2"/>
        <item x="77"/>
        <item x="63"/>
        <item x="254"/>
        <item x="179"/>
        <item x="100"/>
        <item x="182"/>
        <item x="73"/>
        <item x="89"/>
        <item x="196"/>
        <item x="78"/>
        <item x="70"/>
        <item x="157"/>
        <item x="107"/>
        <item x="205"/>
        <item x="247"/>
        <item x="281"/>
        <item x="162"/>
        <item x="34"/>
        <item x="32"/>
        <item x="225"/>
        <item x="98"/>
        <item x="291"/>
        <item x="67"/>
        <item x="233"/>
        <item x="122"/>
        <item x="187"/>
        <item x="60"/>
        <item x="76"/>
        <item x="136"/>
        <item x="216"/>
        <item x="24"/>
        <item x="184"/>
        <item x="154"/>
        <item x="262"/>
        <item x="203"/>
        <item x="140"/>
        <item x="90"/>
        <item x="135"/>
        <item x="276"/>
        <item x="75"/>
        <item x="219"/>
        <item x="227"/>
        <item x="201"/>
        <item x="255"/>
        <item x="209"/>
        <item x="181"/>
        <item x="9"/>
        <item x="185"/>
        <item x="126"/>
        <item x="95"/>
        <item x="234"/>
        <item x="87"/>
        <item x="289"/>
        <item x="226"/>
        <item x="82"/>
        <item x="218"/>
        <item x="51"/>
        <item x="279"/>
        <item x="206"/>
        <item x="72"/>
        <item x="265"/>
        <item x="215"/>
        <item x="66"/>
        <item x="199"/>
        <item x="44"/>
        <item x="143"/>
        <item x="155"/>
        <item x="127"/>
        <item x="251"/>
        <item x="124"/>
        <item x="133"/>
        <item x="221"/>
        <item x="220"/>
        <item x="39"/>
        <item x="101"/>
        <item x="284"/>
        <item x="57"/>
        <item x="168"/>
        <item x="16"/>
        <item x="237"/>
        <item x="280"/>
        <item x="116"/>
        <item x="260"/>
        <item x="138"/>
        <item x="35"/>
        <item x="21"/>
        <item x="252"/>
        <item x="74"/>
        <item x="102"/>
        <item x="158"/>
        <item x="292"/>
        <item t="default"/>
      </items>
    </pivotField>
    <pivotField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Col="0" dragToPage="0" dragToRow="0" defaultSubtotal="0"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求和项:订单金额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 chartFormat="15">
  <location ref="AB6:AC11" firstHeaderRow="1" firstDataRow="1" firstDataCol="1"/>
  <pivotFields count="13"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>
      <items count="294">
        <item x="53"/>
        <item x="41"/>
        <item x="268"/>
        <item x="243"/>
        <item x="43"/>
        <item x="19"/>
        <item x="282"/>
        <item x="40"/>
        <item x="189"/>
        <item x="210"/>
        <item x="103"/>
        <item x="85"/>
        <item x="290"/>
        <item x="46"/>
        <item x="167"/>
        <item x="119"/>
        <item x="104"/>
        <item x="165"/>
        <item x="236"/>
        <item x="88"/>
        <item x="283"/>
        <item x="110"/>
        <item x="222"/>
        <item x="58"/>
        <item x="250"/>
        <item x="160"/>
        <item x="204"/>
        <item x="177"/>
        <item x="142"/>
        <item x="31"/>
        <item x="145"/>
        <item x="118"/>
        <item x="258"/>
        <item x="10"/>
        <item x="129"/>
        <item x="28"/>
        <item x="47"/>
        <item x="69"/>
        <item x="164"/>
        <item x="246"/>
        <item x="170"/>
        <item x="7"/>
        <item x="6"/>
        <item x="54"/>
        <item x="261"/>
        <item x="86"/>
        <item x="259"/>
        <item x="229"/>
        <item x="42"/>
        <item x="288"/>
        <item x="214"/>
        <item x="180"/>
        <item x="241"/>
        <item x="147"/>
        <item x="166"/>
        <item x="286"/>
        <item x="271"/>
        <item x="195"/>
        <item x="256"/>
        <item x="263"/>
        <item x="193"/>
        <item x="159"/>
        <item x="20"/>
        <item x="139"/>
        <item x="153"/>
        <item x="212"/>
        <item x="151"/>
        <item x="175"/>
        <item x="285"/>
        <item x="134"/>
        <item x="38"/>
        <item x="266"/>
        <item x="244"/>
        <item x="213"/>
        <item x="172"/>
        <item x="12"/>
        <item x="149"/>
        <item x="141"/>
        <item x="257"/>
        <item x="81"/>
        <item x="272"/>
        <item x="55"/>
        <item x="128"/>
        <item x="198"/>
        <item x="25"/>
        <item x="253"/>
        <item x="92"/>
        <item x="123"/>
        <item x="30"/>
        <item x="18"/>
        <item x="117"/>
        <item x="223"/>
        <item x="17"/>
        <item x="183"/>
        <item x="56"/>
        <item x="242"/>
        <item x="178"/>
        <item x="115"/>
        <item x="37"/>
        <item x="232"/>
        <item x="161"/>
        <item x="248"/>
        <item x="99"/>
        <item x="61"/>
        <item x="45"/>
        <item x="197"/>
        <item x="121"/>
        <item x="137"/>
        <item x="80"/>
        <item x="144"/>
        <item x="96"/>
        <item x="274"/>
        <item x="52"/>
        <item x="59"/>
        <item x="211"/>
        <item x="150"/>
        <item x="188"/>
        <item x="8"/>
        <item x="109"/>
        <item x="273"/>
        <item x="264"/>
        <item x="71"/>
        <item x="105"/>
        <item x="3"/>
        <item x="36"/>
        <item x="186"/>
        <item x="131"/>
        <item x="48"/>
        <item x="270"/>
        <item x="0"/>
        <item x="112"/>
        <item x="94"/>
        <item x="23"/>
        <item x="132"/>
        <item x="114"/>
        <item x="191"/>
        <item x="239"/>
        <item x="202"/>
        <item x="62"/>
        <item x="1"/>
        <item x="125"/>
        <item x="26"/>
        <item x="64"/>
        <item x="50"/>
        <item x="15"/>
        <item x="217"/>
        <item x="29"/>
        <item x="245"/>
        <item x="192"/>
        <item x="169"/>
        <item x="84"/>
        <item x="224"/>
        <item x="33"/>
        <item x="275"/>
        <item x="171"/>
        <item x="83"/>
        <item x="130"/>
        <item x="200"/>
        <item x="152"/>
        <item x="65"/>
        <item x="277"/>
        <item x="91"/>
        <item x="97"/>
        <item x="93"/>
        <item x="156"/>
        <item x="278"/>
        <item x="49"/>
        <item x="173"/>
        <item x="163"/>
        <item x="228"/>
        <item x="111"/>
        <item x="113"/>
        <item x="238"/>
        <item x="240"/>
        <item x="267"/>
        <item x="11"/>
        <item x="79"/>
        <item x="230"/>
        <item x="269"/>
        <item x="194"/>
        <item x="208"/>
        <item x="174"/>
        <item x="27"/>
        <item x="176"/>
        <item x="120"/>
        <item x="13"/>
        <item x="4"/>
        <item x="249"/>
        <item x="190"/>
        <item x="5"/>
        <item x="68"/>
        <item x="148"/>
        <item x="287"/>
        <item x="108"/>
        <item x="207"/>
        <item x="231"/>
        <item x="235"/>
        <item x="14"/>
        <item x="22"/>
        <item x="106"/>
        <item x="146"/>
        <item x="2"/>
        <item x="77"/>
        <item x="63"/>
        <item x="254"/>
        <item x="179"/>
        <item x="100"/>
        <item x="182"/>
        <item x="73"/>
        <item x="89"/>
        <item x="196"/>
        <item x="78"/>
        <item x="70"/>
        <item x="157"/>
        <item x="107"/>
        <item x="205"/>
        <item x="247"/>
        <item x="281"/>
        <item x="162"/>
        <item x="34"/>
        <item x="32"/>
        <item x="225"/>
        <item x="98"/>
        <item x="291"/>
        <item x="67"/>
        <item x="233"/>
        <item x="122"/>
        <item x="187"/>
        <item x="60"/>
        <item x="76"/>
        <item x="136"/>
        <item x="216"/>
        <item x="24"/>
        <item x="184"/>
        <item x="154"/>
        <item x="262"/>
        <item x="203"/>
        <item x="140"/>
        <item x="90"/>
        <item x="135"/>
        <item x="276"/>
        <item x="75"/>
        <item x="219"/>
        <item x="227"/>
        <item x="201"/>
        <item x="255"/>
        <item x="209"/>
        <item x="181"/>
        <item x="9"/>
        <item x="185"/>
        <item x="126"/>
        <item x="95"/>
        <item x="234"/>
        <item x="87"/>
        <item x="289"/>
        <item x="226"/>
        <item x="82"/>
        <item x="218"/>
        <item x="51"/>
        <item x="279"/>
        <item x="206"/>
        <item x="72"/>
        <item x="265"/>
        <item x="215"/>
        <item x="66"/>
        <item x="199"/>
        <item x="44"/>
        <item x="143"/>
        <item x="155"/>
        <item x="127"/>
        <item x="251"/>
        <item x="124"/>
        <item x="133"/>
        <item x="221"/>
        <item x="220"/>
        <item x="39"/>
        <item x="101"/>
        <item x="284"/>
        <item x="57"/>
        <item x="168"/>
        <item x="16"/>
        <item x="237"/>
        <item x="280"/>
        <item x="116"/>
        <item x="260"/>
        <item x="138"/>
        <item x="35"/>
        <item x="21"/>
        <item x="252"/>
        <item x="74"/>
        <item x="102"/>
        <item x="158"/>
        <item x="292"/>
        <item t="default"/>
      </items>
    </pivotField>
    <pivotField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Col="0" dragToPage="0" dragToRow="0" defaultSubtotal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求和项:订单金额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8" minRefreshableVersion="3" createdVersion="8" useAutoFormatting="1" indent="0" outline="1" outlineData="1" showDrill="1" multipleFieldFilters="0" chartFormat="10">
  <location ref="X6:Z19" firstHeaderRow="0" firstDataRow="1" firstDataCol="1"/>
  <pivotFields count="13">
    <pivotField showAll="0"/>
    <pivotField showAll="0"/>
    <pivotField showAll="0"/>
    <pivotField axis="axisRow" showAll="0">
      <items count="13">
        <item x="0"/>
        <item x="3"/>
        <item x="2"/>
        <item x="6"/>
        <item x="1"/>
        <item x="7"/>
        <item x="8"/>
        <item x="10"/>
        <item x="4"/>
        <item x="5"/>
        <item x="9"/>
        <item x="11"/>
        <item t="default"/>
      </items>
    </pivotField>
    <pivotField showAll="0"/>
    <pivotField showAll="0"/>
    <pivotField dataField="1" showAll="0">
      <items count="294">
        <item x="53"/>
        <item x="41"/>
        <item x="268"/>
        <item x="243"/>
        <item x="43"/>
        <item x="19"/>
        <item x="282"/>
        <item x="40"/>
        <item x="189"/>
        <item x="210"/>
        <item x="103"/>
        <item x="85"/>
        <item x="290"/>
        <item x="46"/>
        <item x="167"/>
        <item x="119"/>
        <item x="104"/>
        <item x="165"/>
        <item x="236"/>
        <item x="88"/>
        <item x="283"/>
        <item x="110"/>
        <item x="222"/>
        <item x="58"/>
        <item x="250"/>
        <item x="160"/>
        <item x="204"/>
        <item x="177"/>
        <item x="142"/>
        <item x="31"/>
        <item x="145"/>
        <item x="118"/>
        <item x="258"/>
        <item x="10"/>
        <item x="129"/>
        <item x="28"/>
        <item x="47"/>
        <item x="69"/>
        <item x="164"/>
        <item x="246"/>
        <item x="170"/>
        <item x="7"/>
        <item x="6"/>
        <item x="54"/>
        <item x="261"/>
        <item x="86"/>
        <item x="259"/>
        <item x="229"/>
        <item x="42"/>
        <item x="288"/>
        <item x="214"/>
        <item x="180"/>
        <item x="241"/>
        <item x="147"/>
        <item x="166"/>
        <item x="286"/>
        <item x="271"/>
        <item x="195"/>
        <item x="256"/>
        <item x="263"/>
        <item x="193"/>
        <item x="159"/>
        <item x="20"/>
        <item x="139"/>
        <item x="153"/>
        <item x="212"/>
        <item x="151"/>
        <item x="175"/>
        <item x="285"/>
        <item x="134"/>
        <item x="38"/>
        <item x="266"/>
        <item x="244"/>
        <item x="213"/>
        <item x="172"/>
        <item x="12"/>
        <item x="149"/>
        <item x="141"/>
        <item x="257"/>
        <item x="81"/>
        <item x="272"/>
        <item x="55"/>
        <item x="128"/>
        <item x="198"/>
        <item x="25"/>
        <item x="253"/>
        <item x="92"/>
        <item x="123"/>
        <item x="30"/>
        <item x="18"/>
        <item x="117"/>
        <item x="223"/>
        <item x="17"/>
        <item x="183"/>
        <item x="56"/>
        <item x="242"/>
        <item x="178"/>
        <item x="115"/>
        <item x="37"/>
        <item x="232"/>
        <item x="161"/>
        <item x="248"/>
        <item x="99"/>
        <item x="61"/>
        <item x="45"/>
        <item x="197"/>
        <item x="121"/>
        <item x="137"/>
        <item x="80"/>
        <item x="144"/>
        <item x="96"/>
        <item x="274"/>
        <item x="52"/>
        <item x="59"/>
        <item x="211"/>
        <item x="150"/>
        <item x="188"/>
        <item x="8"/>
        <item x="109"/>
        <item x="273"/>
        <item x="264"/>
        <item x="71"/>
        <item x="105"/>
        <item x="3"/>
        <item x="36"/>
        <item x="186"/>
        <item x="131"/>
        <item x="48"/>
        <item x="270"/>
        <item x="0"/>
        <item x="112"/>
        <item x="94"/>
        <item x="23"/>
        <item x="132"/>
        <item x="114"/>
        <item x="191"/>
        <item x="239"/>
        <item x="202"/>
        <item x="62"/>
        <item x="1"/>
        <item x="125"/>
        <item x="26"/>
        <item x="64"/>
        <item x="50"/>
        <item x="15"/>
        <item x="217"/>
        <item x="29"/>
        <item x="245"/>
        <item x="192"/>
        <item x="169"/>
        <item x="84"/>
        <item x="224"/>
        <item x="33"/>
        <item x="275"/>
        <item x="171"/>
        <item x="83"/>
        <item x="130"/>
        <item x="200"/>
        <item x="152"/>
        <item x="65"/>
        <item x="277"/>
        <item x="91"/>
        <item x="97"/>
        <item x="93"/>
        <item x="156"/>
        <item x="278"/>
        <item x="49"/>
        <item x="173"/>
        <item x="163"/>
        <item x="228"/>
        <item x="111"/>
        <item x="113"/>
        <item x="238"/>
        <item x="240"/>
        <item x="267"/>
        <item x="11"/>
        <item x="79"/>
        <item x="230"/>
        <item x="269"/>
        <item x="194"/>
        <item x="208"/>
        <item x="174"/>
        <item x="27"/>
        <item x="176"/>
        <item x="120"/>
        <item x="13"/>
        <item x="4"/>
        <item x="249"/>
        <item x="190"/>
        <item x="5"/>
        <item x="68"/>
        <item x="148"/>
        <item x="287"/>
        <item x="108"/>
        <item x="207"/>
        <item x="231"/>
        <item x="235"/>
        <item x="14"/>
        <item x="22"/>
        <item x="106"/>
        <item x="146"/>
        <item x="2"/>
        <item x="77"/>
        <item x="63"/>
        <item x="254"/>
        <item x="179"/>
        <item x="100"/>
        <item x="182"/>
        <item x="73"/>
        <item x="89"/>
        <item x="196"/>
        <item x="78"/>
        <item x="70"/>
        <item x="157"/>
        <item x="107"/>
        <item x="205"/>
        <item x="247"/>
        <item x="281"/>
        <item x="162"/>
        <item x="34"/>
        <item x="32"/>
        <item x="225"/>
        <item x="98"/>
        <item x="291"/>
        <item x="67"/>
        <item x="233"/>
        <item x="122"/>
        <item x="187"/>
        <item x="60"/>
        <item x="76"/>
        <item x="136"/>
        <item x="216"/>
        <item x="24"/>
        <item x="184"/>
        <item x="154"/>
        <item x="262"/>
        <item x="203"/>
        <item x="140"/>
        <item x="90"/>
        <item x="135"/>
        <item x="276"/>
        <item x="75"/>
        <item x="219"/>
        <item x="227"/>
        <item x="201"/>
        <item x="255"/>
        <item x="209"/>
        <item x="181"/>
        <item x="9"/>
        <item x="185"/>
        <item x="126"/>
        <item x="95"/>
        <item x="234"/>
        <item x="87"/>
        <item x="289"/>
        <item x="226"/>
        <item x="82"/>
        <item x="218"/>
        <item x="51"/>
        <item x="279"/>
        <item x="206"/>
        <item x="72"/>
        <item x="265"/>
        <item x="215"/>
        <item x="66"/>
        <item x="199"/>
        <item x="44"/>
        <item x="143"/>
        <item x="155"/>
        <item x="127"/>
        <item x="251"/>
        <item x="124"/>
        <item x="133"/>
        <item x="221"/>
        <item x="220"/>
        <item x="39"/>
        <item x="101"/>
        <item x="284"/>
        <item x="57"/>
        <item x="168"/>
        <item x="16"/>
        <item x="237"/>
        <item x="280"/>
        <item x="116"/>
        <item x="260"/>
        <item x="138"/>
        <item x="35"/>
        <item x="21"/>
        <item x="252"/>
        <item x="74"/>
        <item x="102"/>
        <item x="158"/>
        <item x="292"/>
        <item t="default"/>
      </items>
    </pivotField>
    <pivotField showAll="0">
      <items count="2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Col="0" dragToPage="0" dragToRow="0" defaultSubtotal="0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订单金额" fld="6" baseField="0" baseItem="0"/>
    <dataField name="销售金额占比" fld="6" subtotal="average" showDataAs="percentOfTotal" baseField="3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>
  <queryTableRefresh preserveSortFilterLayout="1" nextId="11">
    <queryTableFields count="10">
      <queryTableField id="1" name="订单号" tableColumnId="1"/>
      <queryTableField id="2" name="产品ID" tableColumnId="2"/>
      <queryTableField id="3" name="客户ID" tableColumnId="3"/>
      <queryTableField id="4" name="客户名称" tableColumnId="4"/>
      <queryTableField id="5" name="客户等级" tableColumnId="5"/>
      <queryTableField id="6" name="地区" tableColumnId="6"/>
      <queryTableField id="7" name="订单金额" tableColumnId="7"/>
      <queryTableField id="8" name="订单日期" tableColumnId="8"/>
      <queryTableField id="9" name="索引" tableColumnId="9"/>
      <queryTableField id="10" name="状态自定义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客户名称1" sourceName="客户名称">
  <pivotTables>
    <pivotTable tabId="4" name="数据透视表2"/>
  </pivotTables>
  <data>
    <tabular pivotCacheId="1">
      <items count="12">
        <i x="0" s="1"/>
        <i x="3" s="1"/>
        <i x="2" s="1"/>
        <i x="6" s="1"/>
        <i x="1" s="1"/>
        <i x="7" s="1"/>
        <i x="8" s="1"/>
        <i x="10" s="1"/>
        <i x="4" s="1"/>
        <i x="5" s="1"/>
        <i x="9" s="1"/>
        <i x="11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订单日期1" sourceName="订单日期">
  <pivotTables>
    <pivotTable tabId="4" name="数据透视表5"/>
  </pivotTables>
  <data>
    <tabular pivotCacheId="1">
      <items count="289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客户等级" sourceName="客户等级">
  <pivotTables>
    <pivotTable tabId="4" name="数据透视表3"/>
  </pivotTables>
  <data>
    <tabular pivotCacheId="1">
      <items count="4">
        <i x="0" s="1"/>
        <i x="1" s="1"/>
        <i x="2" s="1"/>
        <i x="3" s="1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切片器_地区" sourceName="地区">
  <pivotTables>
    <pivotTable tabId="4" name="数据透视表4"/>
  </pivotTables>
  <data>
    <tabular pivotCacheId="1">
      <items count="7">
        <i x="0" s="1"/>
        <i x="1" s="1"/>
        <i x="2" s="1"/>
        <i x="4" s="1"/>
        <i x="5" s="1"/>
        <i x="3" s="1"/>
        <i x="6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客户名称 2" cache="切片器_客户名称1" caption="客户名称" style="SlicerStyleLight4" rowHeight="220133"/>
  <slicer name="订单日期 2" cache="切片器_订单日期1" caption="订单日期" startItem="30" style="SlicerStyleLight3" rowHeight="220133"/>
  <slicer name="客户等级 1" cache="切片器_客户等级" caption="客户等级" rowHeight="220133"/>
  <slicer name="地区 1" cache="切片器_地区" caption="地区" style="SlicerStyleLight2" rowHeight="22013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客户名称 1" cache="切片器_客户名称1" caption="客户名称" style="SlicerStyleLight4" rowHeight="220133"/>
  <slicer name="订单日期 1" cache="切片器_订单日期1" caption="订单日期" style="SlicerStyleLight2" rowHeight="220133"/>
  <slicer name="客户等级" cache="切片器_客户等级" caption="客户等级" style="SlicerStyleLight6" rowHeight="220133"/>
  <slicer name="地区" cache="切片器_地区" caption="地区" style="SlicerStyleDark3" rowHeight="22013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合并1" displayName="合并1" ref="A1:J305" tableType="queryTable" totalsRowShown="0">
  <autoFilter xmlns:etc="http://www.wps.cn/officeDocument/2017/etCustomData" ref="A1:J305" etc:filterBottomFollowUsedRange="0"/>
  <tableColumns count="10">
    <tableColumn id="1" name="订单号" uniqueName="1" queryTableFieldId="1" dataDxfId="0"/>
    <tableColumn id="2" name="产品ID" uniqueName="2" queryTableFieldId="2" dataDxfId="1"/>
    <tableColumn id="3" name="客户ID" uniqueName="3" queryTableFieldId="3" dataDxfId="2"/>
    <tableColumn id="4" name="客户名称" uniqueName="4" queryTableFieldId="4" dataDxfId="3"/>
    <tableColumn id="5" name="客户等级" uniqueName="5" queryTableFieldId="5" dataDxfId="4"/>
    <tableColumn id="6" name="地区" uniqueName="6" queryTableFieldId="6" dataDxfId="5"/>
    <tableColumn id="7" name="订单金额" uniqueName="7" queryTableFieldId="7" dataDxfId="6"/>
    <tableColumn id="8" name="订单日期" uniqueName="8" queryTableFieldId="8" dataDxfId="7"/>
    <tableColumn id="9" name="索引" uniqueName="9" queryTableFieldId="9"/>
    <tableColumn id="10" name="状态自定义" uniqueName="10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table" Target="../tables/table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2"/>
  <sheetViews>
    <sheetView topLeftCell="A227" workbookViewId="0">
      <selection activeCell="D227" sqref="D$1:D$1048576"/>
    </sheetView>
  </sheetViews>
  <sheetFormatPr defaultColWidth="9" defaultRowHeight="14" outlineLevelCol="3"/>
  <cols>
    <col min="1" max="2" width="11.1818181818182" customWidth="1"/>
    <col min="3" max="3" width="17.9090909090909" customWidth="1"/>
    <col min="4" max="4" width="11.1818181818182" customWidth="1"/>
  </cols>
  <sheetData>
    <row r="1" spans="1:4">
      <c r="A1" s="13" t="s">
        <v>0</v>
      </c>
      <c r="B1" s="14" t="s">
        <v>1</v>
      </c>
      <c r="C1" s="14" t="s">
        <v>2</v>
      </c>
      <c r="D1" s="15" t="s">
        <v>3</v>
      </c>
    </row>
    <row r="2" spans="1:4">
      <c r="A2" s="16" t="s">
        <v>4</v>
      </c>
      <c r="B2" s="17" t="s">
        <v>5</v>
      </c>
      <c r="C2" s="17" t="s">
        <v>6</v>
      </c>
      <c r="D2" s="26" t="s">
        <v>7</v>
      </c>
    </row>
    <row r="3" spans="1:4">
      <c r="A3" s="19" t="s">
        <v>8</v>
      </c>
      <c r="B3" s="20" t="s">
        <v>9</v>
      </c>
      <c r="C3" s="20" t="s">
        <v>10</v>
      </c>
      <c r="D3" s="27" t="s">
        <v>11</v>
      </c>
    </row>
    <row r="4" spans="1:4">
      <c r="A4" s="16" t="s">
        <v>8</v>
      </c>
      <c r="B4" s="17" t="s">
        <v>12</v>
      </c>
      <c r="C4" s="17" t="s">
        <v>13</v>
      </c>
      <c r="D4" s="26" t="s">
        <v>14</v>
      </c>
    </row>
    <row r="5" spans="1:4">
      <c r="A5" s="19" t="s">
        <v>15</v>
      </c>
      <c r="B5" s="20" t="s">
        <v>9</v>
      </c>
      <c r="C5" s="20" t="s">
        <v>10</v>
      </c>
      <c r="D5" s="27" t="s">
        <v>11</v>
      </c>
    </row>
    <row r="6" spans="1:4">
      <c r="A6" s="16" t="s">
        <v>15</v>
      </c>
      <c r="B6" s="17" t="s">
        <v>16</v>
      </c>
      <c r="C6" s="17" t="s">
        <v>17</v>
      </c>
      <c r="D6" s="26" t="s">
        <v>14</v>
      </c>
    </row>
    <row r="7" spans="1:4">
      <c r="A7" s="19" t="s">
        <v>18</v>
      </c>
      <c r="B7" s="20" t="s">
        <v>19</v>
      </c>
      <c r="C7" s="20" t="s">
        <v>20</v>
      </c>
      <c r="D7" s="27" t="s">
        <v>14</v>
      </c>
    </row>
    <row r="8" spans="1:4">
      <c r="A8" s="16" t="s">
        <v>18</v>
      </c>
      <c r="B8" s="17" t="s">
        <v>21</v>
      </c>
      <c r="C8" s="17" t="s">
        <v>22</v>
      </c>
      <c r="D8" s="26" t="s">
        <v>14</v>
      </c>
    </row>
    <row r="9" spans="1:4">
      <c r="A9" s="19" t="s">
        <v>23</v>
      </c>
      <c r="B9" s="20" t="s">
        <v>24</v>
      </c>
      <c r="C9" s="20" t="s">
        <v>25</v>
      </c>
      <c r="D9" s="27" t="s">
        <v>14</v>
      </c>
    </row>
    <row r="10" spans="1:4">
      <c r="A10" s="16" t="s">
        <v>23</v>
      </c>
      <c r="B10" s="17" t="s">
        <v>26</v>
      </c>
      <c r="C10" s="17" t="s">
        <v>27</v>
      </c>
      <c r="D10" s="26" t="s">
        <v>11</v>
      </c>
    </row>
    <row r="11" spans="1:4">
      <c r="A11" s="19" t="s">
        <v>28</v>
      </c>
      <c r="B11" s="20" t="s">
        <v>29</v>
      </c>
      <c r="C11" s="20" t="s">
        <v>30</v>
      </c>
      <c r="D11" s="27" t="s">
        <v>11</v>
      </c>
    </row>
    <row r="12" spans="1:4">
      <c r="A12" s="16" t="s">
        <v>28</v>
      </c>
      <c r="B12" s="17" t="s">
        <v>31</v>
      </c>
      <c r="C12" s="17" t="s">
        <v>32</v>
      </c>
      <c r="D12" s="26" t="s">
        <v>14</v>
      </c>
    </row>
    <row r="13" spans="1:4">
      <c r="A13" s="19" t="s">
        <v>8</v>
      </c>
      <c r="B13" s="20" t="s">
        <v>33</v>
      </c>
      <c r="C13" s="20" t="s">
        <v>34</v>
      </c>
      <c r="D13" s="27" t="s">
        <v>14</v>
      </c>
    </row>
    <row r="14" spans="1:4">
      <c r="A14" s="16" t="s">
        <v>8</v>
      </c>
      <c r="B14" s="17" t="s">
        <v>9</v>
      </c>
      <c r="C14" s="17" t="s">
        <v>10</v>
      </c>
      <c r="D14" s="26" t="s">
        <v>11</v>
      </c>
    </row>
    <row r="15" spans="1:4">
      <c r="A15" s="19" t="s">
        <v>8</v>
      </c>
      <c r="B15" s="20" t="s">
        <v>12</v>
      </c>
      <c r="C15" s="20" t="s">
        <v>13</v>
      </c>
      <c r="D15" s="27" t="s">
        <v>14</v>
      </c>
    </row>
    <row r="16" spans="1:4">
      <c r="A16" s="16" t="s">
        <v>15</v>
      </c>
      <c r="B16" s="17" t="s">
        <v>9</v>
      </c>
      <c r="C16" s="17" t="s">
        <v>10</v>
      </c>
      <c r="D16" s="26" t="s">
        <v>11</v>
      </c>
    </row>
    <row r="17" spans="1:4">
      <c r="A17" s="19" t="s">
        <v>15</v>
      </c>
      <c r="B17" s="20" t="s">
        <v>16</v>
      </c>
      <c r="C17" s="20" t="s">
        <v>17</v>
      </c>
      <c r="D17" s="27" t="s">
        <v>14</v>
      </c>
    </row>
    <row r="18" spans="1:4">
      <c r="A18" s="16" t="s">
        <v>18</v>
      </c>
      <c r="B18" s="17" t="s">
        <v>19</v>
      </c>
      <c r="C18" s="17" t="s">
        <v>20</v>
      </c>
      <c r="D18" s="26" t="s">
        <v>14</v>
      </c>
    </row>
    <row r="19" spans="1:4">
      <c r="A19" s="19" t="s">
        <v>18</v>
      </c>
      <c r="B19" s="20" t="s">
        <v>21</v>
      </c>
      <c r="C19" s="20" t="s">
        <v>22</v>
      </c>
      <c r="D19" s="27" t="s">
        <v>14</v>
      </c>
    </row>
    <row r="20" spans="1:4">
      <c r="A20" s="16" t="s">
        <v>23</v>
      </c>
      <c r="B20" s="17" t="s">
        <v>24</v>
      </c>
      <c r="C20" s="17" t="s">
        <v>25</v>
      </c>
      <c r="D20" s="26" t="s">
        <v>14</v>
      </c>
    </row>
    <row r="21" spans="1:4">
      <c r="A21" s="19" t="s">
        <v>23</v>
      </c>
      <c r="B21" s="20" t="s">
        <v>26</v>
      </c>
      <c r="C21" s="20" t="s">
        <v>27</v>
      </c>
      <c r="D21" s="27" t="s">
        <v>11</v>
      </c>
    </row>
    <row r="22" spans="1:4">
      <c r="A22" s="16" t="s">
        <v>28</v>
      </c>
      <c r="B22" s="17" t="s">
        <v>29</v>
      </c>
      <c r="C22" s="17" t="s">
        <v>30</v>
      </c>
      <c r="D22" s="26" t="s">
        <v>11</v>
      </c>
    </row>
    <row r="23" spans="1:4">
      <c r="A23" s="19" t="s">
        <v>28</v>
      </c>
      <c r="B23" s="20" t="s">
        <v>31</v>
      </c>
      <c r="C23" s="20" t="s">
        <v>32</v>
      </c>
      <c r="D23" s="27" t="s">
        <v>14</v>
      </c>
    </row>
    <row r="24" spans="1:4">
      <c r="A24" s="16" t="s">
        <v>8</v>
      </c>
      <c r="B24" s="17" t="s">
        <v>33</v>
      </c>
      <c r="C24" s="17" t="s">
        <v>34</v>
      </c>
      <c r="D24" s="26" t="s">
        <v>14</v>
      </c>
    </row>
    <row r="25" spans="1:4">
      <c r="A25" s="19" t="s">
        <v>8</v>
      </c>
      <c r="B25" s="20" t="s">
        <v>9</v>
      </c>
      <c r="C25" s="20" t="s">
        <v>10</v>
      </c>
      <c r="D25" s="27" t="s">
        <v>11</v>
      </c>
    </row>
    <row r="26" spans="1:4">
      <c r="A26" s="16" t="s">
        <v>8</v>
      </c>
      <c r="B26" s="17" t="s">
        <v>12</v>
      </c>
      <c r="C26" s="17" t="s">
        <v>13</v>
      </c>
      <c r="D26" s="26" t="s">
        <v>14</v>
      </c>
    </row>
    <row r="27" spans="1:4">
      <c r="A27" s="19" t="s">
        <v>15</v>
      </c>
      <c r="B27" s="20" t="s">
        <v>9</v>
      </c>
      <c r="C27" s="20" t="s">
        <v>10</v>
      </c>
      <c r="D27" s="27" t="s">
        <v>11</v>
      </c>
    </row>
    <row r="28" spans="1:4">
      <c r="A28" s="16" t="s">
        <v>15</v>
      </c>
      <c r="B28" s="17" t="s">
        <v>16</v>
      </c>
      <c r="C28" s="17" t="s">
        <v>17</v>
      </c>
      <c r="D28" s="26" t="s">
        <v>14</v>
      </c>
    </row>
    <row r="29" spans="1:4">
      <c r="A29" s="19" t="s">
        <v>18</v>
      </c>
      <c r="B29" s="20" t="s">
        <v>19</v>
      </c>
      <c r="C29" s="20" t="s">
        <v>20</v>
      </c>
      <c r="D29" s="27" t="s">
        <v>14</v>
      </c>
    </row>
    <row r="30" spans="1:4">
      <c r="A30" s="16" t="s">
        <v>8</v>
      </c>
      <c r="B30" s="17" t="s">
        <v>21</v>
      </c>
      <c r="C30" s="17" t="s">
        <v>22</v>
      </c>
      <c r="D30" s="26" t="s">
        <v>14</v>
      </c>
    </row>
    <row r="31" spans="1:4">
      <c r="A31" s="19" t="s">
        <v>8</v>
      </c>
      <c r="B31" s="20" t="s">
        <v>24</v>
      </c>
      <c r="C31" s="20" t="s">
        <v>25</v>
      </c>
      <c r="D31" s="27" t="s">
        <v>14</v>
      </c>
    </row>
    <row r="32" spans="1:4">
      <c r="A32" s="16" t="s">
        <v>15</v>
      </c>
      <c r="B32" s="17" t="s">
        <v>26</v>
      </c>
      <c r="C32" s="17" t="s">
        <v>27</v>
      </c>
      <c r="D32" s="26" t="s">
        <v>11</v>
      </c>
    </row>
    <row r="33" spans="1:4">
      <c r="A33" s="19" t="s">
        <v>15</v>
      </c>
      <c r="B33" s="20" t="s">
        <v>29</v>
      </c>
      <c r="C33" s="20" t="s">
        <v>30</v>
      </c>
      <c r="D33" s="27" t="s">
        <v>11</v>
      </c>
    </row>
    <row r="34" spans="1:4">
      <c r="A34" s="16" t="s">
        <v>18</v>
      </c>
      <c r="B34" s="17" t="s">
        <v>31</v>
      </c>
      <c r="C34" s="17" t="s">
        <v>32</v>
      </c>
      <c r="D34" s="26" t="s">
        <v>14</v>
      </c>
    </row>
    <row r="35" spans="1:4">
      <c r="A35" s="19" t="s">
        <v>18</v>
      </c>
      <c r="B35" s="20" t="s">
        <v>33</v>
      </c>
      <c r="C35" s="20" t="s">
        <v>34</v>
      </c>
      <c r="D35" s="27" t="s">
        <v>14</v>
      </c>
    </row>
    <row r="36" spans="1:4">
      <c r="A36" s="16" t="s">
        <v>23</v>
      </c>
      <c r="B36" s="17" t="s">
        <v>9</v>
      </c>
      <c r="C36" s="17" t="s">
        <v>10</v>
      </c>
      <c r="D36" s="26" t="s">
        <v>11</v>
      </c>
    </row>
    <row r="37" spans="1:4">
      <c r="A37" s="19" t="s">
        <v>23</v>
      </c>
      <c r="B37" s="20" t="s">
        <v>12</v>
      </c>
      <c r="C37" s="20" t="s">
        <v>13</v>
      </c>
      <c r="D37" s="27" t="s">
        <v>14</v>
      </c>
    </row>
    <row r="38" spans="1:4">
      <c r="A38" s="16" t="s">
        <v>28</v>
      </c>
      <c r="B38" s="17" t="s">
        <v>9</v>
      </c>
      <c r="C38" s="17" t="s">
        <v>10</v>
      </c>
      <c r="D38" s="26" t="s">
        <v>11</v>
      </c>
    </row>
    <row r="39" spans="1:4">
      <c r="A39" s="19" t="s">
        <v>28</v>
      </c>
      <c r="B39" s="20" t="s">
        <v>16</v>
      </c>
      <c r="C39" s="20" t="s">
        <v>17</v>
      </c>
      <c r="D39" s="27" t="s">
        <v>14</v>
      </c>
    </row>
    <row r="40" spans="1:4">
      <c r="A40" s="16" t="s">
        <v>8</v>
      </c>
      <c r="B40" s="17" t="s">
        <v>19</v>
      </c>
      <c r="C40" s="17" t="s">
        <v>20</v>
      </c>
      <c r="D40" s="26" t="s">
        <v>14</v>
      </c>
    </row>
    <row r="41" spans="1:4">
      <c r="A41" s="19" t="s">
        <v>8</v>
      </c>
      <c r="B41" s="20" t="s">
        <v>21</v>
      </c>
      <c r="C41" s="20" t="s">
        <v>22</v>
      </c>
      <c r="D41" s="27" t="s">
        <v>14</v>
      </c>
    </row>
    <row r="42" spans="1:4">
      <c r="A42" s="16" t="s">
        <v>8</v>
      </c>
      <c r="B42" s="17" t="s">
        <v>24</v>
      </c>
      <c r="C42" s="17" t="s">
        <v>25</v>
      </c>
      <c r="D42" s="26" t="s">
        <v>14</v>
      </c>
    </row>
    <row r="43" spans="1:4">
      <c r="A43" s="19" t="s">
        <v>15</v>
      </c>
      <c r="B43" s="20" t="s">
        <v>26</v>
      </c>
      <c r="C43" s="20" t="s">
        <v>27</v>
      </c>
      <c r="D43" s="27" t="s">
        <v>11</v>
      </c>
    </row>
    <row r="44" spans="1:4">
      <c r="A44" s="16" t="s">
        <v>15</v>
      </c>
      <c r="B44" s="17" t="s">
        <v>29</v>
      </c>
      <c r="C44" s="17" t="s">
        <v>30</v>
      </c>
      <c r="D44" s="26" t="s">
        <v>11</v>
      </c>
    </row>
    <row r="45" spans="1:4">
      <c r="A45" s="19" t="s">
        <v>18</v>
      </c>
      <c r="B45" s="20" t="s">
        <v>31</v>
      </c>
      <c r="C45" s="20" t="s">
        <v>32</v>
      </c>
      <c r="D45" s="27" t="s">
        <v>14</v>
      </c>
    </row>
    <row r="46" spans="1:4">
      <c r="A46" s="16" t="s">
        <v>18</v>
      </c>
      <c r="B46" s="17" t="s">
        <v>33</v>
      </c>
      <c r="C46" s="17" t="s">
        <v>34</v>
      </c>
      <c r="D46" s="26" t="s">
        <v>14</v>
      </c>
    </row>
    <row r="47" spans="1:4">
      <c r="A47" s="19" t="s">
        <v>23</v>
      </c>
      <c r="B47" s="20" t="s">
        <v>9</v>
      </c>
      <c r="C47" s="20" t="s">
        <v>10</v>
      </c>
      <c r="D47" s="27" t="s">
        <v>11</v>
      </c>
    </row>
    <row r="48" spans="1:4">
      <c r="A48" s="16" t="s">
        <v>23</v>
      </c>
      <c r="B48" s="17" t="s">
        <v>12</v>
      </c>
      <c r="C48" s="17" t="s">
        <v>13</v>
      </c>
      <c r="D48" s="26" t="s">
        <v>14</v>
      </c>
    </row>
    <row r="49" spans="1:4">
      <c r="A49" s="19" t="s">
        <v>28</v>
      </c>
      <c r="B49" s="20" t="s">
        <v>9</v>
      </c>
      <c r="C49" s="20" t="s">
        <v>10</v>
      </c>
      <c r="D49" s="27" t="s">
        <v>11</v>
      </c>
    </row>
    <row r="50" spans="1:4">
      <c r="A50" s="16" t="s">
        <v>28</v>
      </c>
      <c r="B50" s="17" t="s">
        <v>16</v>
      </c>
      <c r="C50" s="17" t="s">
        <v>17</v>
      </c>
      <c r="D50" s="26" t="s">
        <v>14</v>
      </c>
    </row>
    <row r="51" spans="1:4">
      <c r="A51" s="19" t="s">
        <v>8</v>
      </c>
      <c r="B51" s="20" t="s">
        <v>19</v>
      </c>
      <c r="C51" s="20" t="s">
        <v>20</v>
      </c>
      <c r="D51" s="27" t="s">
        <v>14</v>
      </c>
    </row>
    <row r="52" spans="1:4">
      <c r="A52" s="16" t="s">
        <v>8</v>
      </c>
      <c r="B52" s="17" t="s">
        <v>21</v>
      </c>
      <c r="C52" s="17" t="s">
        <v>22</v>
      </c>
      <c r="D52" s="26" t="s">
        <v>14</v>
      </c>
    </row>
    <row r="53" spans="1:4">
      <c r="A53" s="19" t="s">
        <v>8</v>
      </c>
      <c r="B53" s="20" t="s">
        <v>24</v>
      </c>
      <c r="C53" s="20" t="s">
        <v>25</v>
      </c>
      <c r="D53" s="27" t="s">
        <v>14</v>
      </c>
    </row>
    <row r="54" spans="1:4">
      <c r="A54" s="16" t="s">
        <v>15</v>
      </c>
      <c r="B54" s="17" t="s">
        <v>26</v>
      </c>
      <c r="C54" s="17" t="s">
        <v>27</v>
      </c>
      <c r="D54" s="26" t="s">
        <v>11</v>
      </c>
    </row>
    <row r="55" spans="1:4">
      <c r="A55" s="19" t="s">
        <v>15</v>
      </c>
      <c r="B55" s="20" t="s">
        <v>29</v>
      </c>
      <c r="C55" s="20" t="s">
        <v>30</v>
      </c>
      <c r="D55" s="27" t="s">
        <v>11</v>
      </c>
    </row>
    <row r="56" spans="1:4">
      <c r="A56" s="16" t="s">
        <v>18</v>
      </c>
      <c r="B56" s="17" t="s">
        <v>31</v>
      </c>
      <c r="C56" s="17" t="s">
        <v>32</v>
      </c>
      <c r="D56" s="26" t="s">
        <v>14</v>
      </c>
    </row>
    <row r="57" spans="1:4">
      <c r="A57" s="19" t="s">
        <v>8</v>
      </c>
      <c r="B57" s="20" t="s">
        <v>33</v>
      </c>
      <c r="C57" s="20" t="s">
        <v>34</v>
      </c>
      <c r="D57" s="27" t="s">
        <v>14</v>
      </c>
    </row>
    <row r="58" spans="1:4">
      <c r="A58" s="16" t="s">
        <v>8</v>
      </c>
      <c r="B58" s="17" t="s">
        <v>9</v>
      </c>
      <c r="C58" s="17" t="s">
        <v>10</v>
      </c>
      <c r="D58" s="26" t="s">
        <v>11</v>
      </c>
    </row>
    <row r="59" spans="1:4">
      <c r="A59" s="19" t="s">
        <v>15</v>
      </c>
      <c r="B59" s="20" t="s">
        <v>12</v>
      </c>
      <c r="C59" s="20" t="s">
        <v>13</v>
      </c>
      <c r="D59" s="27" t="s">
        <v>14</v>
      </c>
    </row>
    <row r="60" spans="1:4">
      <c r="A60" s="16" t="s">
        <v>15</v>
      </c>
      <c r="B60" s="17" t="s">
        <v>9</v>
      </c>
      <c r="C60" s="17" t="s">
        <v>10</v>
      </c>
      <c r="D60" s="26" t="s">
        <v>11</v>
      </c>
    </row>
    <row r="61" spans="1:4">
      <c r="A61" s="19" t="s">
        <v>18</v>
      </c>
      <c r="B61" s="20" t="s">
        <v>16</v>
      </c>
      <c r="C61" s="20" t="s">
        <v>17</v>
      </c>
      <c r="D61" s="27" t="s">
        <v>14</v>
      </c>
    </row>
    <row r="62" spans="1:4">
      <c r="A62" s="16" t="s">
        <v>18</v>
      </c>
      <c r="B62" s="17" t="s">
        <v>19</v>
      </c>
      <c r="C62" s="17" t="s">
        <v>20</v>
      </c>
      <c r="D62" s="26" t="s">
        <v>14</v>
      </c>
    </row>
    <row r="63" spans="1:4">
      <c r="A63" s="19" t="s">
        <v>23</v>
      </c>
      <c r="B63" s="20" t="s">
        <v>21</v>
      </c>
      <c r="C63" s="20" t="s">
        <v>22</v>
      </c>
      <c r="D63" s="27" t="s">
        <v>14</v>
      </c>
    </row>
    <row r="64" spans="1:4">
      <c r="A64" s="16" t="s">
        <v>23</v>
      </c>
      <c r="B64" s="17" t="s">
        <v>24</v>
      </c>
      <c r="C64" s="17" t="s">
        <v>25</v>
      </c>
      <c r="D64" s="26" t="s">
        <v>14</v>
      </c>
    </row>
    <row r="65" spans="1:4">
      <c r="A65" s="19" t="s">
        <v>28</v>
      </c>
      <c r="B65" s="20" t="s">
        <v>26</v>
      </c>
      <c r="C65" s="20" t="s">
        <v>27</v>
      </c>
      <c r="D65" s="27" t="s">
        <v>11</v>
      </c>
    </row>
    <row r="66" spans="1:4">
      <c r="A66" s="16" t="s">
        <v>28</v>
      </c>
      <c r="B66" s="17" t="s">
        <v>29</v>
      </c>
      <c r="C66" s="17" t="s">
        <v>30</v>
      </c>
      <c r="D66" s="26" t="s">
        <v>11</v>
      </c>
    </row>
    <row r="67" spans="1:4">
      <c r="A67" s="19" t="s">
        <v>8</v>
      </c>
      <c r="B67" s="20" t="s">
        <v>31</v>
      </c>
      <c r="C67" s="20" t="s">
        <v>32</v>
      </c>
      <c r="D67" s="27" t="s">
        <v>14</v>
      </c>
    </row>
    <row r="68" spans="1:4">
      <c r="A68" s="16" t="s">
        <v>8</v>
      </c>
      <c r="B68" s="17" t="s">
        <v>33</v>
      </c>
      <c r="C68" s="17" t="s">
        <v>34</v>
      </c>
      <c r="D68" s="26" t="s">
        <v>14</v>
      </c>
    </row>
    <row r="69" spans="1:4">
      <c r="A69" s="19" t="s">
        <v>8</v>
      </c>
      <c r="B69" s="20" t="s">
        <v>9</v>
      </c>
      <c r="C69" s="20" t="s">
        <v>10</v>
      </c>
      <c r="D69" s="27" t="s">
        <v>11</v>
      </c>
    </row>
    <row r="70" spans="1:4">
      <c r="A70" s="16" t="s">
        <v>15</v>
      </c>
      <c r="B70" s="17" t="s">
        <v>12</v>
      </c>
      <c r="C70" s="17" t="s">
        <v>13</v>
      </c>
      <c r="D70" s="26" t="s">
        <v>14</v>
      </c>
    </row>
    <row r="71" spans="1:4">
      <c r="A71" s="19" t="s">
        <v>15</v>
      </c>
      <c r="B71" s="20" t="s">
        <v>9</v>
      </c>
      <c r="C71" s="20" t="s">
        <v>10</v>
      </c>
      <c r="D71" s="27" t="s">
        <v>11</v>
      </c>
    </row>
    <row r="72" spans="1:4">
      <c r="A72" s="16" t="s">
        <v>18</v>
      </c>
      <c r="B72" s="17" t="s">
        <v>16</v>
      </c>
      <c r="C72" s="17" t="s">
        <v>17</v>
      </c>
      <c r="D72" s="26" t="s">
        <v>14</v>
      </c>
    </row>
    <row r="73" spans="1:4">
      <c r="A73" s="19" t="s">
        <v>18</v>
      </c>
      <c r="B73" s="20" t="s">
        <v>19</v>
      </c>
      <c r="C73" s="20" t="s">
        <v>20</v>
      </c>
      <c r="D73" s="27" t="s">
        <v>14</v>
      </c>
    </row>
    <row r="74" spans="1:4">
      <c r="A74" s="16" t="s">
        <v>23</v>
      </c>
      <c r="B74" s="17" t="s">
        <v>21</v>
      </c>
      <c r="C74" s="17" t="s">
        <v>22</v>
      </c>
      <c r="D74" s="26" t="s">
        <v>14</v>
      </c>
    </row>
    <row r="75" spans="1:4">
      <c r="A75" s="19" t="s">
        <v>23</v>
      </c>
      <c r="B75" s="20" t="s">
        <v>24</v>
      </c>
      <c r="C75" s="20" t="s">
        <v>25</v>
      </c>
      <c r="D75" s="27" t="s">
        <v>14</v>
      </c>
    </row>
    <row r="76" spans="1:4">
      <c r="A76" s="16" t="s">
        <v>28</v>
      </c>
      <c r="B76" s="17" t="s">
        <v>26</v>
      </c>
      <c r="C76" s="17" t="s">
        <v>27</v>
      </c>
      <c r="D76" s="26" t="s">
        <v>11</v>
      </c>
    </row>
    <row r="77" spans="1:4">
      <c r="A77" s="19" t="s">
        <v>28</v>
      </c>
      <c r="B77" s="20" t="s">
        <v>29</v>
      </c>
      <c r="C77" s="20" t="s">
        <v>30</v>
      </c>
      <c r="D77" s="27" t="s">
        <v>11</v>
      </c>
    </row>
    <row r="78" spans="1:4">
      <c r="A78" s="16" t="s">
        <v>8</v>
      </c>
      <c r="B78" s="17" t="s">
        <v>31</v>
      </c>
      <c r="C78" s="17" t="s">
        <v>32</v>
      </c>
      <c r="D78" s="26" t="s">
        <v>14</v>
      </c>
    </row>
    <row r="79" spans="1:4">
      <c r="A79" s="19" t="s">
        <v>8</v>
      </c>
      <c r="B79" s="20" t="s">
        <v>33</v>
      </c>
      <c r="C79" s="20" t="s">
        <v>34</v>
      </c>
      <c r="D79" s="27" t="s">
        <v>14</v>
      </c>
    </row>
    <row r="80" spans="1:4">
      <c r="A80" s="16" t="s">
        <v>8</v>
      </c>
      <c r="B80" s="17" t="s">
        <v>9</v>
      </c>
      <c r="C80" s="17" t="s">
        <v>10</v>
      </c>
      <c r="D80" s="26" t="s">
        <v>11</v>
      </c>
    </row>
    <row r="81" spans="1:4">
      <c r="A81" s="19" t="s">
        <v>15</v>
      </c>
      <c r="B81" s="20" t="s">
        <v>12</v>
      </c>
      <c r="C81" s="20" t="s">
        <v>13</v>
      </c>
      <c r="D81" s="27" t="s">
        <v>14</v>
      </c>
    </row>
    <row r="82" spans="1:4">
      <c r="A82" s="16" t="s">
        <v>15</v>
      </c>
      <c r="B82" s="17" t="s">
        <v>9</v>
      </c>
      <c r="C82" s="17" t="s">
        <v>10</v>
      </c>
      <c r="D82" s="26" t="s">
        <v>11</v>
      </c>
    </row>
    <row r="83" spans="1:4">
      <c r="A83" s="19" t="s">
        <v>18</v>
      </c>
      <c r="B83" s="20" t="s">
        <v>16</v>
      </c>
      <c r="C83" s="20" t="s">
        <v>17</v>
      </c>
      <c r="D83" s="27" t="s">
        <v>14</v>
      </c>
    </row>
    <row r="84" spans="1:4">
      <c r="A84" s="16" t="s">
        <v>8</v>
      </c>
      <c r="B84" s="17" t="s">
        <v>19</v>
      </c>
      <c r="C84" s="17" t="s">
        <v>20</v>
      </c>
      <c r="D84" s="26" t="s">
        <v>14</v>
      </c>
    </row>
    <row r="85" spans="1:4">
      <c r="A85" s="19" t="s">
        <v>8</v>
      </c>
      <c r="B85" s="20" t="s">
        <v>21</v>
      </c>
      <c r="C85" s="20" t="s">
        <v>22</v>
      </c>
      <c r="D85" s="27" t="s">
        <v>14</v>
      </c>
    </row>
    <row r="86" spans="1:4">
      <c r="A86" s="16" t="s">
        <v>15</v>
      </c>
      <c r="B86" s="17" t="s">
        <v>24</v>
      </c>
      <c r="C86" s="17" t="s">
        <v>25</v>
      </c>
      <c r="D86" s="26" t="s">
        <v>14</v>
      </c>
    </row>
    <row r="87" spans="1:4">
      <c r="A87" s="19" t="s">
        <v>15</v>
      </c>
      <c r="B87" s="20" t="s">
        <v>26</v>
      </c>
      <c r="C87" s="20" t="s">
        <v>27</v>
      </c>
      <c r="D87" s="27" t="s">
        <v>11</v>
      </c>
    </row>
    <row r="88" spans="1:4">
      <c r="A88" s="16" t="s">
        <v>18</v>
      </c>
      <c r="B88" s="17" t="s">
        <v>29</v>
      </c>
      <c r="C88" s="17" t="s">
        <v>30</v>
      </c>
      <c r="D88" s="26" t="s">
        <v>11</v>
      </c>
    </row>
    <row r="89" spans="1:4">
      <c r="A89" s="19" t="s">
        <v>18</v>
      </c>
      <c r="B89" s="20" t="s">
        <v>31</v>
      </c>
      <c r="C89" s="20" t="s">
        <v>32</v>
      </c>
      <c r="D89" s="27" t="s">
        <v>14</v>
      </c>
    </row>
    <row r="90" spans="1:4">
      <c r="A90" s="16" t="s">
        <v>23</v>
      </c>
      <c r="B90" s="17" t="s">
        <v>33</v>
      </c>
      <c r="C90" s="17" t="s">
        <v>34</v>
      </c>
      <c r="D90" s="26" t="s">
        <v>14</v>
      </c>
    </row>
    <row r="91" spans="1:4">
      <c r="A91" s="19" t="s">
        <v>23</v>
      </c>
      <c r="B91" s="20" t="s">
        <v>9</v>
      </c>
      <c r="C91" s="20" t="s">
        <v>10</v>
      </c>
      <c r="D91" s="27" t="s">
        <v>11</v>
      </c>
    </row>
    <row r="92" spans="1:4">
      <c r="A92" s="16" t="s">
        <v>28</v>
      </c>
      <c r="B92" s="17" t="s">
        <v>12</v>
      </c>
      <c r="C92" s="17" t="s">
        <v>13</v>
      </c>
      <c r="D92" s="26" t="s">
        <v>14</v>
      </c>
    </row>
    <row r="93" spans="1:4">
      <c r="A93" s="19" t="s">
        <v>28</v>
      </c>
      <c r="B93" s="20" t="s">
        <v>9</v>
      </c>
      <c r="C93" s="20" t="s">
        <v>10</v>
      </c>
      <c r="D93" s="27" t="s">
        <v>11</v>
      </c>
    </row>
    <row r="94" spans="1:4">
      <c r="A94" s="16" t="s">
        <v>8</v>
      </c>
      <c r="B94" s="17" t="s">
        <v>16</v>
      </c>
      <c r="C94" s="17" t="s">
        <v>17</v>
      </c>
      <c r="D94" s="26" t="s">
        <v>14</v>
      </c>
    </row>
    <row r="95" spans="1:4">
      <c r="A95" s="19" t="s">
        <v>8</v>
      </c>
      <c r="B95" s="20" t="s">
        <v>19</v>
      </c>
      <c r="C95" s="20" t="s">
        <v>20</v>
      </c>
      <c r="D95" s="27" t="s">
        <v>14</v>
      </c>
    </row>
    <row r="96" spans="1:4">
      <c r="A96" s="16" t="s">
        <v>8</v>
      </c>
      <c r="B96" s="17" t="s">
        <v>21</v>
      </c>
      <c r="C96" s="17" t="s">
        <v>22</v>
      </c>
      <c r="D96" s="26" t="s">
        <v>14</v>
      </c>
    </row>
    <row r="97" spans="1:4">
      <c r="A97" s="19" t="s">
        <v>15</v>
      </c>
      <c r="B97" s="20" t="s">
        <v>24</v>
      </c>
      <c r="C97" s="20" t="s">
        <v>25</v>
      </c>
      <c r="D97" s="27" t="s">
        <v>14</v>
      </c>
    </row>
    <row r="98" spans="1:4">
      <c r="A98" s="16" t="s">
        <v>15</v>
      </c>
      <c r="B98" s="17" t="s">
        <v>35</v>
      </c>
      <c r="C98" s="17" t="s">
        <v>36</v>
      </c>
      <c r="D98" s="26" t="s">
        <v>11</v>
      </c>
    </row>
    <row r="99" spans="1:4">
      <c r="A99" s="19" t="s">
        <v>18</v>
      </c>
      <c r="B99" s="20" t="s">
        <v>29</v>
      </c>
      <c r="C99" s="20" t="s">
        <v>30</v>
      </c>
      <c r="D99" s="27" t="s">
        <v>11</v>
      </c>
    </row>
    <row r="100" spans="1:4">
      <c r="A100" s="16" t="s">
        <v>18</v>
      </c>
      <c r="B100" s="17" t="s">
        <v>31</v>
      </c>
      <c r="C100" s="17" t="s">
        <v>32</v>
      </c>
      <c r="D100" s="26" t="s">
        <v>14</v>
      </c>
    </row>
    <row r="101" spans="1:4">
      <c r="A101" s="19" t="s">
        <v>23</v>
      </c>
      <c r="B101" s="20" t="s">
        <v>33</v>
      </c>
      <c r="C101" s="20" t="s">
        <v>34</v>
      </c>
      <c r="D101" s="27" t="s">
        <v>14</v>
      </c>
    </row>
    <row r="102" spans="1:4">
      <c r="A102" s="16" t="s">
        <v>23</v>
      </c>
      <c r="B102" s="17" t="s">
        <v>9</v>
      </c>
      <c r="C102" s="17" t="s">
        <v>10</v>
      </c>
      <c r="D102" s="26" t="s">
        <v>11</v>
      </c>
    </row>
    <row r="103" spans="1:4">
      <c r="A103" s="19" t="s">
        <v>28</v>
      </c>
      <c r="B103" s="20" t="s">
        <v>12</v>
      </c>
      <c r="C103" s="20" t="s">
        <v>13</v>
      </c>
      <c r="D103" s="27" t="s">
        <v>14</v>
      </c>
    </row>
    <row r="104" spans="1:4">
      <c r="A104" s="16" t="s">
        <v>28</v>
      </c>
      <c r="B104" s="17" t="s">
        <v>9</v>
      </c>
      <c r="C104" s="17" t="s">
        <v>10</v>
      </c>
      <c r="D104" s="26" t="s">
        <v>11</v>
      </c>
    </row>
    <row r="105" spans="1:4">
      <c r="A105" s="19" t="s">
        <v>8</v>
      </c>
      <c r="B105" s="20" t="s">
        <v>16</v>
      </c>
      <c r="C105" s="20" t="s">
        <v>17</v>
      </c>
      <c r="D105" s="27" t="s">
        <v>14</v>
      </c>
    </row>
    <row r="106" spans="1:4">
      <c r="A106" s="16" t="s">
        <v>8</v>
      </c>
      <c r="B106" s="17" t="s">
        <v>19</v>
      </c>
      <c r="C106" s="17" t="s">
        <v>20</v>
      </c>
      <c r="D106" s="26" t="s">
        <v>14</v>
      </c>
    </row>
    <row r="107" spans="1:4">
      <c r="A107" s="19" t="s">
        <v>8</v>
      </c>
      <c r="B107" s="20" t="s">
        <v>21</v>
      </c>
      <c r="C107" s="20" t="s">
        <v>22</v>
      </c>
      <c r="D107" s="27" t="s">
        <v>14</v>
      </c>
    </row>
    <row r="108" spans="1:4">
      <c r="A108" s="16" t="s">
        <v>15</v>
      </c>
      <c r="B108" s="17" t="s">
        <v>24</v>
      </c>
      <c r="C108" s="17" t="s">
        <v>25</v>
      </c>
      <c r="D108" s="26" t="s">
        <v>14</v>
      </c>
    </row>
    <row r="109" spans="1:4">
      <c r="A109" s="19" t="s">
        <v>15</v>
      </c>
      <c r="B109" s="20" t="s">
        <v>26</v>
      </c>
      <c r="C109" s="20" t="s">
        <v>27</v>
      </c>
      <c r="D109" s="27" t="s">
        <v>11</v>
      </c>
    </row>
    <row r="110" spans="1:4">
      <c r="A110" s="16" t="s">
        <v>18</v>
      </c>
      <c r="B110" s="17" t="s">
        <v>29</v>
      </c>
      <c r="C110" s="17" t="s">
        <v>30</v>
      </c>
      <c r="D110" s="26" t="s">
        <v>11</v>
      </c>
    </row>
    <row r="111" spans="1:4">
      <c r="A111" s="19" t="s">
        <v>8</v>
      </c>
      <c r="B111" s="20" t="s">
        <v>31</v>
      </c>
      <c r="C111" s="20" t="s">
        <v>32</v>
      </c>
      <c r="D111" s="27" t="s">
        <v>14</v>
      </c>
    </row>
    <row r="112" spans="1:4">
      <c r="A112" s="16" t="s">
        <v>8</v>
      </c>
      <c r="B112" s="17" t="s">
        <v>33</v>
      </c>
      <c r="C112" s="17" t="s">
        <v>34</v>
      </c>
      <c r="D112" s="26" t="s">
        <v>14</v>
      </c>
    </row>
    <row r="113" spans="1:4">
      <c r="A113" s="19" t="s">
        <v>15</v>
      </c>
      <c r="B113" s="20" t="s">
        <v>9</v>
      </c>
      <c r="C113" s="20" t="s">
        <v>10</v>
      </c>
      <c r="D113" s="27" t="s">
        <v>11</v>
      </c>
    </row>
    <row r="114" spans="1:4">
      <c r="A114" s="16" t="s">
        <v>15</v>
      </c>
      <c r="B114" s="17" t="s">
        <v>12</v>
      </c>
      <c r="C114" s="17" t="s">
        <v>13</v>
      </c>
      <c r="D114" s="26" t="s">
        <v>14</v>
      </c>
    </row>
    <row r="115" spans="1:4">
      <c r="A115" s="19" t="s">
        <v>18</v>
      </c>
      <c r="B115" s="20" t="s">
        <v>9</v>
      </c>
      <c r="C115" s="20" t="s">
        <v>10</v>
      </c>
      <c r="D115" s="27" t="s">
        <v>11</v>
      </c>
    </row>
    <row r="116" spans="1:4">
      <c r="A116" s="16" t="s">
        <v>18</v>
      </c>
      <c r="B116" s="17" t="s">
        <v>16</v>
      </c>
      <c r="C116" s="17" t="s">
        <v>17</v>
      </c>
      <c r="D116" s="26" t="s">
        <v>14</v>
      </c>
    </row>
    <row r="117" spans="1:4">
      <c r="A117" s="19" t="s">
        <v>23</v>
      </c>
      <c r="B117" s="20" t="s">
        <v>19</v>
      </c>
      <c r="C117" s="20" t="s">
        <v>20</v>
      </c>
      <c r="D117" s="27" t="s">
        <v>14</v>
      </c>
    </row>
    <row r="118" spans="1:4">
      <c r="A118" s="16" t="s">
        <v>23</v>
      </c>
      <c r="B118" s="17" t="s">
        <v>21</v>
      </c>
      <c r="C118" s="17" t="s">
        <v>22</v>
      </c>
      <c r="D118" s="26" t="s">
        <v>14</v>
      </c>
    </row>
    <row r="119" spans="1:4">
      <c r="A119" s="19" t="s">
        <v>28</v>
      </c>
      <c r="B119" s="20" t="s">
        <v>24</v>
      </c>
      <c r="C119" s="20" t="s">
        <v>25</v>
      </c>
      <c r="D119" s="27" t="s">
        <v>14</v>
      </c>
    </row>
    <row r="120" spans="1:4">
      <c r="A120" s="16" t="s">
        <v>28</v>
      </c>
      <c r="B120" s="17" t="s">
        <v>26</v>
      </c>
      <c r="C120" s="17" t="s">
        <v>27</v>
      </c>
      <c r="D120" s="26" t="s">
        <v>11</v>
      </c>
    </row>
    <row r="121" spans="1:4">
      <c r="A121" s="19" t="s">
        <v>8</v>
      </c>
      <c r="B121" s="20" t="s">
        <v>29</v>
      </c>
      <c r="C121" s="20" t="s">
        <v>30</v>
      </c>
      <c r="D121" s="27" t="s">
        <v>11</v>
      </c>
    </row>
    <row r="122" spans="1:4">
      <c r="A122" s="16" t="s">
        <v>8</v>
      </c>
      <c r="B122" s="17" t="s">
        <v>31</v>
      </c>
      <c r="C122" s="17" t="s">
        <v>32</v>
      </c>
      <c r="D122" s="26" t="s">
        <v>14</v>
      </c>
    </row>
    <row r="123" spans="1:4">
      <c r="A123" s="19" t="s">
        <v>8</v>
      </c>
      <c r="B123" s="20" t="s">
        <v>33</v>
      </c>
      <c r="C123" s="20" t="s">
        <v>34</v>
      </c>
      <c r="D123" s="27" t="s">
        <v>14</v>
      </c>
    </row>
    <row r="124" spans="1:4">
      <c r="A124" s="16" t="s">
        <v>15</v>
      </c>
      <c r="B124" s="17" t="s">
        <v>9</v>
      </c>
      <c r="C124" s="17" t="s">
        <v>10</v>
      </c>
      <c r="D124" s="26" t="s">
        <v>11</v>
      </c>
    </row>
    <row r="125" spans="1:4">
      <c r="A125" s="19" t="s">
        <v>15</v>
      </c>
      <c r="B125" s="20" t="s">
        <v>12</v>
      </c>
      <c r="C125" s="20" t="s">
        <v>13</v>
      </c>
      <c r="D125" s="27" t="s">
        <v>14</v>
      </c>
    </row>
    <row r="126" spans="1:4">
      <c r="A126" s="16" t="s">
        <v>18</v>
      </c>
      <c r="B126" s="17" t="s">
        <v>9</v>
      </c>
      <c r="C126" s="17" t="s">
        <v>10</v>
      </c>
      <c r="D126" s="26" t="s">
        <v>11</v>
      </c>
    </row>
    <row r="127" spans="1:4">
      <c r="A127" s="19" t="s">
        <v>18</v>
      </c>
      <c r="B127" s="20" t="s">
        <v>16</v>
      </c>
      <c r="C127" s="20" t="s">
        <v>17</v>
      </c>
      <c r="D127" s="27" t="s">
        <v>14</v>
      </c>
    </row>
    <row r="128" spans="1:4">
      <c r="A128" s="16" t="s">
        <v>23</v>
      </c>
      <c r="B128" s="17" t="s">
        <v>19</v>
      </c>
      <c r="C128" s="17" t="s">
        <v>20</v>
      </c>
      <c r="D128" s="26" t="s">
        <v>14</v>
      </c>
    </row>
    <row r="129" spans="1:4">
      <c r="A129" s="19" t="s">
        <v>23</v>
      </c>
      <c r="B129" s="20" t="s">
        <v>21</v>
      </c>
      <c r="C129" s="20" t="s">
        <v>22</v>
      </c>
      <c r="D129" s="27" t="s">
        <v>14</v>
      </c>
    </row>
    <row r="130" spans="1:4">
      <c r="A130" s="16" t="s">
        <v>28</v>
      </c>
      <c r="B130" s="17" t="s">
        <v>24</v>
      </c>
      <c r="C130" s="17" t="s">
        <v>25</v>
      </c>
      <c r="D130" s="26" t="s">
        <v>14</v>
      </c>
    </row>
    <row r="131" spans="1:4">
      <c r="A131" s="19" t="s">
        <v>28</v>
      </c>
      <c r="B131" s="20" t="s">
        <v>26</v>
      </c>
      <c r="C131" s="20" t="s">
        <v>27</v>
      </c>
      <c r="D131" s="27" t="s">
        <v>11</v>
      </c>
    </row>
    <row r="132" spans="1:4">
      <c r="A132" s="16" t="s">
        <v>8</v>
      </c>
      <c r="B132" s="17" t="s">
        <v>29</v>
      </c>
      <c r="C132" s="17" t="s">
        <v>30</v>
      </c>
      <c r="D132" s="26" t="s">
        <v>11</v>
      </c>
    </row>
    <row r="133" spans="1:4">
      <c r="A133" s="19" t="s">
        <v>8</v>
      </c>
      <c r="B133" s="20" t="s">
        <v>31</v>
      </c>
      <c r="C133" s="20" t="s">
        <v>32</v>
      </c>
      <c r="D133" s="27" t="s">
        <v>14</v>
      </c>
    </row>
    <row r="134" spans="1:4">
      <c r="A134" s="16" t="s">
        <v>8</v>
      </c>
      <c r="B134" s="17" t="s">
        <v>33</v>
      </c>
      <c r="C134" s="17" t="s">
        <v>34</v>
      </c>
      <c r="D134" s="26" t="s">
        <v>14</v>
      </c>
    </row>
    <row r="135" spans="1:4">
      <c r="A135" s="19" t="s">
        <v>15</v>
      </c>
      <c r="B135" s="20" t="s">
        <v>9</v>
      </c>
      <c r="C135" s="20" t="s">
        <v>10</v>
      </c>
      <c r="D135" s="27" t="s">
        <v>11</v>
      </c>
    </row>
    <row r="136" spans="1:4">
      <c r="A136" s="16" t="s">
        <v>15</v>
      </c>
      <c r="B136" s="17" t="s">
        <v>12</v>
      </c>
      <c r="C136" s="17" t="s">
        <v>13</v>
      </c>
      <c r="D136" s="26" t="s">
        <v>14</v>
      </c>
    </row>
    <row r="137" spans="1:4">
      <c r="A137" s="19" t="s">
        <v>18</v>
      </c>
      <c r="B137" s="20" t="s">
        <v>9</v>
      </c>
      <c r="C137" s="20" t="s">
        <v>10</v>
      </c>
      <c r="D137" s="27" t="s">
        <v>11</v>
      </c>
    </row>
    <row r="138" spans="1:4">
      <c r="A138" s="16" t="s">
        <v>8</v>
      </c>
      <c r="B138" s="17" t="s">
        <v>16</v>
      </c>
      <c r="C138" s="17" t="s">
        <v>17</v>
      </c>
      <c r="D138" s="26" t="s">
        <v>14</v>
      </c>
    </row>
    <row r="139" spans="1:4">
      <c r="A139" s="19" t="s">
        <v>8</v>
      </c>
      <c r="B139" s="20" t="s">
        <v>19</v>
      </c>
      <c r="C139" s="20" t="s">
        <v>20</v>
      </c>
      <c r="D139" s="27" t="s">
        <v>14</v>
      </c>
    </row>
    <row r="140" spans="1:4">
      <c r="A140" s="16" t="s">
        <v>15</v>
      </c>
      <c r="B140" s="17" t="s">
        <v>21</v>
      </c>
      <c r="C140" s="17" t="s">
        <v>22</v>
      </c>
      <c r="D140" s="26" t="s">
        <v>14</v>
      </c>
    </row>
    <row r="141" spans="1:4">
      <c r="A141" s="19" t="s">
        <v>15</v>
      </c>
      <c r="B141" s="20" t="s">
        <v>24</v>
      </c>
      <c r="C141" s="20" t="s">
        <v>25</v>
      </c>
      <c r="D141" s="27" t="s">
        <v>14</v>
      </c>
    </row>
    <row r="142" spans="1:4">
      <c r="A142" s="16" t="s">
        <v>18</v>
      </c>
      <c r="B142" s="17" t="s">
        <v>26</v>
      </c>
      <c r="C142" s="17" t="s">
        <v>27</v>
      </c>
      <c r="D142" s="26" t="s">
        <v>11</v>
      </c>
    </row>
    <row r="143" spans="1:4">
      <c r="A143" s="19" t="s">
        <v>18</v>
      </c>
      <c r="B143" s="20" t="s">
        <v>29</v>
      </c>
      <c r="C143" s="20" t="s">
        <v>30</v>
      </c>
      <c r="D143" s="27" t="s">
        <v>11</v>
      </c>
    </row>
    <row r="144" spans="1:4">
      <c r="A144" s="16" t="s">
        <v>23</v>
      </c>
      <c r="B144" s="17" t="s">
        <v>31</v>
      </c>
      <c r="C144" s="17" t="s">
        <v>32</v>
      </c>
      <c r="D144" s="26" t="s">
        <v>14</v>
      </c>
    </row>
    <row r="145" spans="1:4">
      <c r="A145" s="19" t="s">
        <v>23</v>
      </c>
      <c r="B145" s="20" t="s">
        <v>33</v>
      </c>
      <c r="C145" s="20" t="s">
        <v>34</v>
      </c>
      <c r="D145" s="27" t="s">
        <v>14</v>
      </c>
    </row>
    <row r="146" spans="1:4">
      <c r="A146" s="16" t="s">
        <v>28</v>
      </c>
      <c r="B146" s="17" t="s">
        <v>9</v>
      </c>
      <c r="C146" s="17" t="s">
        <v>10</v>
      </c>
      <c r="D146" s="26" t="s">
        <v>11</v>
      </c>
    </row>
    <row r="147" spans="1:4">
      <c r="A147" s="19" t="s">
        <v>28</v>
      </c>
      <c r="B147" s="20" t="s">
        <v>12</v>
      </c>
      <c r="C147" s="20" t="s">
        <v>13</v>
      </c>
      <c r="D147" s="27" t="s">
        <v>14</v>
      </c>
    </row>
    <row r="148" spans="1:4">
      <c r="A148" s="16" t="s">
        <v>8</v>
      </c>
      <c r="B148" s="17" t="s">
        <v>9</v>
      </c>
      <c r="C148" s="17" t="s">
        <v>10</v>
      </c>
      <c r="D148" s="26" t="s">
        <v>11</v>
      </c>
    </row>
    <row r="149" spans="1:4">
      <c r="A149" s="19" t="s">
        <v>8</v>
      </c>
      <c r="B149" s="20" t="s">
        <v>16</v>
      </c>
      <c r="C149" s="20" t="s">
        <v>17</v>
      </c>
      <c r="D149" s="27" t="s">
        <v>14</v>
      </c>
    </row>
    <row r="150" spans="1:4">
      <c r="A150" s="16" t="s">
        <v>8</v>
      </c>
      <c r="B150" s="17" t="s">
        <v>19</v>
      </c>
      <c r="C150" s="17" t="s">
        <v>20</v>
      </c>
      <c r="D150" s="26" t="s">
        <v>14</v>
      </c>
    </row>
    <row r="151" spans="1:4">
      <c r="A151" s="19" t="s">
        <v>15</v>
      </c>
      <c r="B151" s="20" t="s">
        <v>21</v>
      </c>
      <c r="C151" s="20" t="s">
        <v>22</v>
      </c>
      <c r="D151" s="27" t="s">
        <v>14</v>
      </c>
    </row>
    <row r="152" spans="1:4">
      <c r="A152" s="16" t="s">
        <v>15</v>
      </c>
      <c r="B152" s="17" t="s">
        <v>24</v>
      </c>
      <c r="C152" s="17" t="s">
        <v>25</v>
      </c>
      <c r="D152" s="26" t="s">
        <v>14</v>
      </c>
    </row>
    <row r="153" spans="1:4">
      <c r="A153" s="19" t="s">
        <v>18</v>
      </c>
      <c r="B153" s="20" t="s">
        <v>26</v>
      </c>
      <c r="C153" s="20" t="s">
        <v>27</v>
      </c>
      <c r="D153" s="27" t="s">
        <v>11</v>
      </c>
    </row>
    <row r="154" spans="1:4">
      <c r="A154" s="16" t="s">
        <v>18</v>
      </c>
      <c r="B154" s="17" t="s">
        <v>29</v>
      </c>
      <c r="C154" s="17" t="s">
        <v>30</v>
      </c>
      <c r="D154" s="26" t="s">
        <v>11</v>
      </c>
    </row>
    <row r="155" spans="1:4">
      <c r="A155" s="19" t="s">
        <v>23</v>
      </c>
      <c r="B155" s="20" t="s">
        <v>31</v>
      </c>
      <c r="C155" s="20" t="s">
        <v>32</v>
      </c>
      <c r="D155" s="27" t="s">
        <v>14</v>
      </c>
    </row>
    <row r="156" spans="1:4">
      <c r="A156" s="16" t="s">
        <v>23</v>
      </c>
      <c r="B156" s="17" t="s">
        <v>33</v>
      </c>
      <c r="C156" s="17" t="s">
        <v>34</v>
      </c>
      <c r="D156" s="26" t="s">
        <v>14</v>
      </c>
    </row>
    <row r="157" spans="1:4">
      <c r="A157" s="19" t="s">
        <v>28</v>
      </c>
      <c r="B157" s="20" t="s">
        <v>9</v>
      </c>
      <c r="C157" s="20" t="s">
        <v>10</v>
      </c>
      <c r="D157" s="27" t="s">
        <v>11</v>
      </c>
    </row>
    <row r="158" spans="1:4">
      <c r="A158" s="16" t="s">
        <v>28</v>
      </c>
      <c r="B158" s="17" t="s">
        <v>12</v>
      </c>
      <c r="C158" s="17" t="s">
        <v>13</v>
      </c>
      <c r="D158" s="26" t="s">
        <v>14</v>
      </c>
    </row>
    <row r="159" spans="1:4">
      <c r="A159" s="19" t="s">
        <v>8</v>
      </c>
      <c r="B159" s="20" t="s">
        <v>9</v>
      </c>
      <c r="C159" s="20" t="s">
        <v>10</v>
      </c>
      <c r="D159" s="27" t="s">
        <v>11</v>
      </c>
    </row>
    <row r="160" spans="1:4">
      <c r="A160" s="16" t="s">
        <v>8</v>
      </c>
      <c r="B160" s="17" t="s">
        <v>16</v>
      </c>
      <c r="C160" s="17" t="s">
        <v>17</v>
      </c>
      <c r="D160" s="26" t="s">
        <v>14</v>
      </c>
    </row>
    <row r="161" spans="1:4">
      <c r="A161" s="19" t="s">
        <v>8</v>
      </c>
      <c r="B161" s="20" t="s">
        <v>19</v>
      </c>
      <c r="C161" s="20" t="s">
        <v>20</v>
      </c>
      <c r="D161" s="27" t="s">
        <v>14</v>
      </c>
    </row>
    <row r="162" spans="1:4">
      <c r="A162" s="16" t="s">
        <v>15</v>
      </c>
      <c r="B162" s="17" t="s">
        <v>21</v>
      </c>
      <c r="C162" s="17" t="s">
        <v>22</v>
      </c>
      <c r="D162" s="26" t="s">
        <v>14</v>
      </c>
    </row>
    <row r="163" spans="1:4">
      <c r="A163" s="19" t="s">
        <v>15</v>
      </c>
      <c r="B163" s="20" t="s">
        <v>24</v>
      </c>
      <c r="C163" s="20" t="s">
        <v>25</v>
      </c>
      <c r="D163" s="27" t="s">
        <v>14</v>
      </c>
    </row>
    <row r="164" spans="1:4">
      <c r="A164" s="16" t="s">
        <v>18</v>
      </c>
      <c r="B164" s="17" t="s">
        <v>26</v>
      </c>
      <c r="C164" s="17" t="s">
        <v>27</v>
      </c>
      <c r="D164" s="26" t="s">
        <v>11</v>
      </c>
    </row>
    <row r="165" spans="1:4">
      <c r="A165" s="19" t="s">
        <v>8</v>
      </c>
      <c r="B165" s="20" t="s">
        <v>29</v>
      </c>
      <c r="C165" s="20" t="s">
        <v>30</v>
      </c>
      <c r="D165" s="27" t="s">
        <v>11</v>
      </c>
    </row>
    <row r="166" spans="1:4">
      <c r="A166" s="16" t="s">
        <v>8</v>
      </c>
      <c r="B166" s="17" t="s">
        <v>31</v>
      </c>
      <c r="C166" s="17" t="s">
        <v>32</v>
      </c>
      <c r="D166" s="26" t="s">
        <v>14</v>
      </c>
    </row>
    <row r="167" spans="1:4">
      <c r="A167" s="19" t="s">
        <v>15</v>
      </c>
      <c r="B167" s="20" t="s">
        <v>33</v>
      </c>
      <c r="C167" s="20" t="s">
        <v>34</v>
      </c>
      <c r="D167" s="27" t="s">
        <v>14</v>
      </c>
    </row>
    <row r="168" spans="1:4">
      <c r="A168" s="16" t="s">
        <v>15</v>
      </c>
      <c r="B168" s="17" t="s">
        <v>9</v>
      </c>
      <c r="C168" s="17" t="s">
        <v>10</v>
      </c>
      <c r="D168" s="26" t="s">
        <v>11</v>
      </c>
    </row>
    <row r="169" spans="1:4">
      <c r="A169" s="19" t="s">
        <v>18</v>
      </c>
      <c r="B169" s="20" t="s">
        <v>12</v>
      </c>
      <c r="C169" s="20" t="s">
        <v>13</v>
      </c>
      <c r="D169" s="27" t="s">
        <v>14</v>
      </c>
    </row>
    <row r="170" spans="1:4">
      <c r="A170" s="16" t="s">
        <v>18</v>
      </c>
      <c r="B170" s="17" t="s">
        <v>9</v>
      </c>
      <c r="C170" s="17" t="s">
        <v>10</v>
      </c>
      <c r="D170" s="26" t="s">
        <v>11</v>
      </c>
    </row>
    <row r="171" spans="1:4">
      <c r="A171" s="19" t="s">
        <v>23</v>
      </c>
      <c r="B171" s="20" t="s">
        <v>16</v>
      </c>
      <c r="C171" s="20" t="s">
        <v>17</v>
      </c>
      <c r="D171" s="27" t="s">
        <v>14</v>
      </c>
    </row>
    <row r="172" spans="1:4">
      <c r="A172" s="16" t="s">
        <v>23</v>
      </c>
      <c r="B172" s="17" t="s">
        <v>19</v>
      </c>
      <c r="C172" s="17" t="s">
        <v>20</v>
      </c>
      <c r="D172" s="26" t="s">
        <v>14</v>
      </c>
    </row>
    <row r="173" spans="1:4">
      <c r="A173" s="19" t="s">
        <v>28</v>
      </c>
      <c r="B173" s="20" t="s">
        <v>21</v>
      </c>
      <c r="C173" s="20" t="s">
        <v>22</v>
      </c>
      <c r="D173" s="27" t="s">
        <v>14</v>
      </c>
    </row>
    <row r="174" spans="1:4">
      <c r="A174" s="16" t="s">
        <v>28</v>
      </c>
      <c r="B174" s="17" t="s">
        <v>24</v>
      </c>
      <c r="C174" s="17" t="s">
        <v>25</v>
      </c>
      <c r="D174" s="26" t="s">
        <v>14</v>
      </c>
    </row>
    <row r="175" spans="1:4">
      <c r="A175" s="19" t="s">
        <v>8</v>
      </c>
      <c r="B175" s="20" t="s">
        <v>26</v>
      </c>
      <c r="C175" s="20" t="s">
        <v>27</v>
      </c>
      <c r="D175" s="27" t="s">
        <v>11</v>
      </c>
    </row>
    <row r="176" spans="1:4">
      <c r="A176" s="16" t="s">
        <v>8</v>
      </c>
      <c r="B176" s="17" t="s">
        <v>29</v>
      </c>
      <c r="C176" s="17" t="s">
        <v>30</v>
      </c>
      <c r="D176" s="26" t="s">
        <v>11</v>
      </c>
    </row>
    <row r="177" spans="1:4">
      <c r="A177" s="19" t="s">
        <v>8</v>
      </c>
      <c r="B177" s="20" t="s">
        <v>31</v>
      </c>
      <c r="C177" s="20" t="s">
        <v>32</v>
      </c>
      <c r="D177" s="27" t="s">
        <v>14</v>
      </c>
    </row>
    <row r="178" spans="1:4">
      <c r="A178" s="16" t="s">
        <v>15</v>
      </c>
      <c r="B178" s="17" t="s">
        <v>33</v>
      </c>
      <c r="C178" s="17" t="s">
        <v>34</v>
      </c>
      <c r="D178" s="26" t="s">
        <v>14</v>
      </c>
    </row>
    <row r="179" spans="1:4">
      <c r="A179" s="19" t="s">
        <v>15</v>
      </c>
      <c r="B179" s="20" t="s">
        <v>9</v>
      </c>
      <c r="C179" s="20" t="s">
        <v>10</v>
      </c>
      <c r="D179" s="27" t="s">
        <v>11</v>
      </c>
    </row>
    <row r="180" spans="1:4">
      <c r="A180" s="16" t="s">
        <v>18</v>
      </c>
      <c r="B180" s="17" t="s">
        <v>12</v>
      </c>
      <c r="C180" s="17" t="s">
        <v>13</v>
      </c>
      <c r="D180" s="26" t="s">
        <v>14</v>
      </c>
    </row>
    <row r="181" spans="1:4">
      <c r="A181" s="19" t="s">
        <v>18</v>
      </c>
      <c r="B181" s="20" t="s">
        <v>9</v>
      </c>
      <c r="C181" s="20" t="s">
        <v>10</v>
      </c>
      <c r="D181" s="27" t="s">
        <v>11</v>
      </c>
    </row>
    <row r="182" spans="1:4">
      <c r="A182" s="16" t="s">
        <v>23</v>
      </c>
      <c r="B182" s="17" t="s">
        <v>16</v>
      </c>
      <c r="C182" s="17" t="s">
        <v>17</v>
      </c>
      <c r="D182" s="26" t="s">
        <v>14</v>
      </c>
    </row>
    <row r="183" spans="1:4">
      <c r="A183" s="19" t="s">
        <v>23</v>
      </c>
      <c r="B183" s="20" t="s">
        <v>19</v>
      </c>
      <c r="C183" s="20" t="s">
        <v>20</v>
      </c>
      <c r="D183" s="27" t="s">
        <v>14</v>
      </c>
    </row>
    <row r="184" spans="1:4">
      <c r="A184" s="16" t="s">
        <v>28</v>
      </c>
      <c r="B184" s="17" t="s">
        <v>21</v>
      </c>
      <c r="C184" s="17" t="s">
        <v>22</v>
      </c>
      <c r="D184" s="26" t="s">
        <v>14</v>
      </c>
    </row>
    <row r="185" spans="1:4">
      <c r="A185" s="19" t="s">
        <v>28</v>
      </c>
      <c r="B185" s="20" t="s">
        <v>24</v>
      </c>
      <c r="C185" s="20" t="s">
        <v>25</v>
      </c>
      <c r="D185" s="27" t="s">
        <v>14</v>
      </c>
    </row>
    <row r="186" spans="1:4">
      <c r="A186" s="16" t="s">
        <v>8</v>
      </c>
      <c r="B186" s="17" t="s">
        <v>26</v>
      </c>
      <c r="C186" s="17" t="s">
        <v>27</v>
      </c>
      <c r="D186" s="26" t="s">
        <v>11</v>
      </c>
    </row>
    <row r="187" spans="1:4">
      <c r="A187" s="19" t="s">
        <v>8</v>
      </c>
      <c r="B187" s="20" t="s">
        <v>29</v>
      </c>
      <c r="C187" s="20" t="s">
        <v>30</v>
      </c>
      <c r="D187" s="27" t="s">
        <v>11</v>
      </c>
    </row>
    <row r="188" spans="1:4">
      <c r="A188" s="16" t="s">
        <v>8</v>
      </c>
      <c r="B188" s="17" t="s">
        <v>31</v>
      </c>
      <c r="C188" s="17" t="s">
        <v>32</v>
      </c>
      <c r="D188" s="26" t="s">
        <v>14</v>
      </c>
    </row>
    <row r="189" spans="1:4">
      <c r="A189" s="19" t="s">
        <v>15</v>
      </c>
      <c r="B189" s="20" t="s">
        <v>33</v>
      </c>
      <c r="C189" s="20" t="s">
        <v>34</v>
      </c>
      <c r="D189" s="27" t="s">
        <v>14</v>
      </c>
    </row>
    <row r="190" spans="1:4">
      <c r="A190" s="16" t="s">
        <v>15</v>
      </c>
      <c r="B190" s="17" t="s">
        <v>9</v>
      </c>
      <c r="C190" s="17" t="s">
        <v>10</v>
      </c>
      <c r="D190" s="26" t="s">
        <v>11</v>
      </c>
    </row>
    <row r="191" spans="1:4">
      <c r="A191" s="19" t="s">
        <v>18</v>
      </c>
      <c r="B191" s="20" t="s">
        <v>12</v>
      </c>
      <c r="C191" s="20" t="s">
        <v>13</v>
      </c>
      <c r="D191" s="27" t="s">
        <v>14</v>
      </c>
    </row>
    <row r="192" spans="1:4">
      <c r="A192" s="16" t="s">
        <v>8</v>
      </c>
      <c r="B192" s="17" t="s">
        <v>9</v>
      </c>
      <c r="C192" s="17" t="s">
        <v>10</v>
      </c>
      <c r="D192" s="26" t="s">
        <v>11</v>
      </c>
    </row>
    <row r="193" spans="1:4">
      <c r="A193" s="19" t="s">
        <v>8</v>
      </c>
      <c r="B193" s="20" t="s">
        <v>16</v>
      </c>
      <c r="C193" s="20" t="s">
        <v>17</v>
      </c>
      <c r="D193" s="27" t="s">
        <v>14</v>
      </c>
    </row>
    <row r="194" spans="1:4">
      <c r="A194" s="16" t="s">
        <v>15</v>
      </c>
      <c r="B194" s="17" t="s">
        <v>19</v>
      </c>
      <c r="C194" s="17" t="s">
        <v>20</v>
      </c>
      <c r="D194" s="26" t="s">
        <v>14</v>
      </c>
    </row>
    <row r="195" spans="1:4">
      <c r="A195" s="19" t="s">
        <v>15</v>
      </c>
      <c r="B195" s="20" t="s">
        <v>21</v>
      </c>
      <c r="C195" s="20" t="s">
        <v>22</v>
      </c>
      <c r="D195" s="27" t="s">
        <v>14</v>
      </c>
    </row>
    <row r="196" spans="1:4">
      <c r="A196" s="16" t="s">
        <v>18</v>
      </c>
      <c r="B196" s="17" t="s">
        <v>24</v>
      </c>
      <c r="C196" s="17" t="s">
        <v>25</v>
      </c>
      <c r="D196" s="26" t="s">
        <v>14</v>
      </c>
    </row>
    <row r="197" spans="1:4">
      <c r="A197" s="19" t="s">
        <v>18</v>
      </c>
      <c r="B197" s="20" t="s">
        <v>26</v>
      </c>
      <c r="C197" s="20" t="s">
        <v>27</v>
      </c>
      <c r="D197" s="27" t="s">
        <v>11</v>
      </c>
    </row>
    <row r="198" spans="1:4">
      <c r="A198" s="16" t="s">
        <v>23</v>
      </c>
      <c r="B198" s="17" t="s">
        <v>29</v>
      </c>
      <c r="C198" s="17" t="s">
        <v>30</v>
      </c>
      <c r="D198" s="26" t="s">
        <v>11</v>
      </c>
    </row>
    <row r="199" spans="1:4">
      <c r="A199" s="19" t="s">
        <v>23</v>
      </c>
      <c r="B199" s="20" t="s">
        <v>31</v>
      </c>
      <c r="C199" s="20" t="s">
        <v>32</v>
      </c>
      <c r="D199" s="27" t="s">
        <v>14</v>
      </c>
    </row>
    <row r="200" spans="1:4">
      <c r="A200" s="16" t="s">
        <v>28</v>
      </c>
      <c r="B200" s="17" t="s">
        <v>33</v>
      </c>
      <c r="C200" s="17" t="s">
        <v>34</v>
      </c>
      <c r="D200" s="26" t="s">
        <v>14</v>
      </c>
    </row>
    <row r="201" spans="1:4">
      <c r="A201" s="19" t="s">
        <v>28</v>
      </c>
      <c r="B201" s="20" t="s">
        <v>9</v>
      </c>
      <c r="C201" s="20" t="s">
        <v>10</v>
      </c>
      <c r="D201" s="27" t="s">
        <v>11</v>
      </c>
    </row>
    <row r="202" spans="1:4">
      <c r="A202" s="16" t="s">
        <v>8</v>
      </c>
      <c r="B202" s="17" t="s">
        <v>12</v>
      </c>
      <c r="C202" s="17" t="s">
        <v>13</v>
      </c>
      <c r="D202" s="26" t="s">
        <v>14</v>
      </c>
    </row>
    <row r="203" spans="1:4">
      <c r="A203" s="19" t="s">
        <v>8</v>
      </c>
      <c r="B203" s="20" t="s">
        <v>9</v>
      </c>
      <c r="C203" s="20" t="s">
        <v>10</v>
      </c>
      <c r="D203" s="27" t="s">
        <v>11</v>
      </c>
    </row>
    <row r="204" spans="1:4">
      <c r="A204" s="16" t="s">
        <v>8</v>
      </c>
      <c r="B204" s="17" t="s">
        <v>16</v>
      </c>
      <c r="C204" s="17" t="s">
        <v>17</v>
      </c>
      <c r="D204" s="26" t="s">
        <v>14</v>
      </c>
    </row>
    <row r="205" spans="1:4">
      <c r="A205" s="19" t="s">
        <v>15</v>
      </c>
      <c r="B205" s="20" t="s">
        <v>19</v>
      </c>
      <c r="C205" s="20" t="s">
        <v>20</v>
      </c>
      <c r="D205" s="27" t="s">
        <v>14</v>
      </c>
    </row>
    <row r="206" spans="1:4">
      <c r="A206" s="16" t="s">
        <v>15</v>
      </c>
      <c r="B206" s="17" t="s">
        <v>21</v>
      </c>
      <c r="C206" s="17" t="s">
        <v>22</v>
      </c>
      <c r="D206" s="26" t="s">
        <v>14</v>
      </c>
    </row>
    <row r="207" spans="1:4">
      <c r="A207" s="19" t="s">
        <v>18</v>
      </c>
      <c r="B207" s="20" t="s">
        <v>24</v>
      </c>
      <c r="C207" s="20" t="s">
        <v>25</v>
      </c>
      <c r="D207" s="27" t="s">
        <v>14</v>
      </c>
    </row>
    <row r="208" spans="1:4">
      <c r="A208" s="16" t="s">
        <v>18</v>
      </c>
      <c r="B208" s="17" t="s">
        <v>26</v>
      </c>
      <c r="C208" s="17" t="s">
        <v>27</v>
      </c>
      <c r="D208" s="26" t="s">
        <v>11</v>
      </c>
    </row>
    <row r="209" spans="1:4">
      <c r="A209" s="19" t="s">
        <v>23</v>
      </c>
      <c r="B209" s="20" t="s">
        <v>29</v>
      </c>
      <c r="C209" s="20" t="s">
        <v>30</v>
      </c>
      <c r="D209" s="27" t="s">
        <v>11</v>
      </c>
    </row>
    <row r="210" spans="1:4">
      <c r="A210" s="16" t="s">
        <v>23</v>
      </c>
      <c r="B210" s="17" t="s">
        <v>31</v>
      </c>
      <c r="C210" s="17" t="s">
        <v>32</v>
      </c>
      <c r="D210" s="26" t="s">
        <v>14</v>
      </c>
    </row>
    <row r="211" spans="1:4">
      <c r="A211" s="19" t="s">
        <v>28</v>
      </c>
      <c r="B211" s="20" t="s">
        <v>33</v>
      </c>
      <c r="C211" s="20" t="s">
        <v>34</v>
      </c>
      <c r="D211" s="27" t="s">
        <v>14</v>
      </c>
    </row>
    <row r="212" spans="1:4">
      <c r="A212" s="16" t="s">
        <v>28</v>
      </c>
      <c r="B212" s="17" t="s">
        <v>9</v>
      </c>
      <c r="C212" s="17" t="s">
        <v>10</v>
      </c>
      <c r="D212" s="26" t="s">
        <v>11</v>
      </c>
    </row>
    <row r="213" spans="1:4">
      <c r="A213" s="19" t="s">
        <v>8</v>
      </c>
      <c r="B213" s="20" t="s">
        <v>12</v>
      </c>
      <c r="C213" s="20" t="s">
        <v>13</v>
      </c>
      <c r="D213" s="27" t="s">
        <v>14</v>
      </c>
    </row>
    <row r="214" spans="1:4">
      <c r="A214" s="16" t="s">
        <v>8</v>
      </c>
      <c r="B214" s="17" t="s">
        <v>9</v>
      </c>
      <c r="C214" s="17" t="s">
        <v>10</v>
      </c>
      <c r="D214" s="26" t="s">
        <v>11</v>
      </c>
    </row>
    <row r="215" spans="1:4">
      <c r="A215" s="19" t="s">
        <v>8</v>
      </c>
      <c r="B215" s="20" t="s">
        <v>16</v>
      </c>
      <c r="C215" s="20" t="s">
        <v>17</v>
      </c>
      <c r="D215" s="27" t="s">
        <v>14</v>
      </c>
    </row>
    <row r="216" spans="1:4">
      <c r="A216" s="16" t="s">
        <v>15</v>
      </c>
      <c r="B216" s="17" t="s">
        <v>19</v>
      </c>
      <c r="C216" s="17" t="s">
        <v>20</v>
      </c>
      <c r="D216" s="26" t="s">
        <v>14</v>
      </c>
    </row>
    <row r="217" spans="1:4">
      <c r="A217" s="19" t="s">
        <v>15</v>
      </c>
      <c r="B217" s="20" t="s">
        <v>21</v>
      </c>
      <c r="C217" s="20" t="s">
        <v>22</v>
      </c>
      <c r="D217" s="27" t="s">
        <v>14</v>
      </c>
    </row>
    <row r="218" spans="1:4">
      <c r="A218" s="16" t="s">
        <v>18</v>
      </c>
      <c r="B218" s="17" t="s">
        <v>24</v>
      </c>
      <c r="C218" s="17" t="s">
        <v>25</v>
      </c>
      <c r="D218" s="26" t="s">
        <v>14</v>
      </c>
    </row>
    <row r="219" spans="1:4">
      <c r="A219" s="19" t="s">
        <v>8</v>
      </c>
      <c r="B219" s="20" t="s">
        <v>26</v>
      </c>
      <c r="C219" s="20" t="s">
        <v>27</v>
      </c>
      <c r="D219" s="27" t="s">
        <v>11</v>
      </c>
    </row>
    <row r="220" spans="1:4">
      <c r="A220" s="16" t="s">
        <v>8</v>
      </c>
      <c r="B220" s="17" t="s">
        <v>29</v>
      </c>
      <c r="C220" s="17" t="s">
        <v>30</v>
      </c>
      <c r="D220" s="26" t="s">
        <v>11</v>
      </c>
    </row>
    <row r="221" spans="1:4">
      <c r="A221" s="19" t="s">
        <v>15</v>
      </c>
      <c r="B221" s="20" t="s">
        <v>31</v>
      </c>
      <c r="C221" s="20" t="s">
        <v>32</v>
      </c>
      <c r="D221" s="27" t="s">
        <v>14</v>
      </c>
    </row>
    <row r="222" spans="1:4">
      <c r="A222" s="16" t="s">
        <v>15</v>
      </c>
      <c r="B222" s="17" t="s">
        <v>33</v>
      </c>
      <c r="C222" s="17" t="s">
        <v>34</v>
      </c>
      <c r="D222" s="26" t="s">
        <v>14</v>
      </c>
    </row>
    <row r="223" spans="1:4">
      <c r="A223" s="19" t="s">
        <v>18</v>
      </c>
      <c r="B223" s="20" t="s">
        <v>9</v>
      </c>
      <c r="C223" s="20" t="s">
        <v>10</v>
      </c>
      <c r="D223" s="27" t="s">
        <v>11</v>
      </c>
    </row>
    <row r="224" spans="1:4">
      <c r="A224" s="16" t="s">
        <v>18</v>
      </c>
      <c r="B224" s="17" t="s">
        <v>12</v>
      </c>
      <c r="C224" s="17" t="s">
        <v>13</v>
      </c>
      <c r="D224" s="26" t="s">
        <v>14</v>
      </c>
    </row>
    <row r="225" spans="1:4">
      <c r="A225" s="19" t="s">
        <v>23</v>
      </c>
      <c r="B225" s="20" t="s">
        <v>9</v>
      </c>
      <c r="C225" s="20" t="s">
        <v>10</v>
      </c>
      <c r="D225" s="27" t="s">
        <v>11</v>
      </c>
    </row>
    <row r="226" spans="1:4">
      <c r="A226" s="16" t="s">
        <v>23</v>
      </c>
      <c r="B226" s="17" t="s">
        <v>16</v>
      </c>
      <c r="C226" s="17" t="s">
        <v>17</v>
      </c>
      <c r="D226" s="26" t="s">
        <v>14</v>
      </c>
    </row>
    <row r="227" spans="1:4">
      <c r="A227" s="19" t="s">
        <v>28</v>
      </c>
      <c r="B227" s="20" t="s">
        <v>19</v>
      </c>
      <c r="C227" s="20" t="s">
        <v>20</v>
      </c>
      <c r="D227" s="27" t="s">
        <v>14</v>
      </c>
    </row>
    <row r="228" spans="1:4">
      <c r="A228" s="16" t="s">
        <v>28</v>
      </c>
      <c r="B228" s="17" t="s">
        <v>21</v>
      </c>
      <c r="C228" s="17" t="s">
        <v>22</v>
      </c>
      <c r="D228" s="26" t="s">
        <v>14</v>
      </c>
    </row>
    <row r="229" spans="1:4">
      <c r="A229" s="19" t="s">
        <v>8</v>
      </c>
      <c r="B229" s="20" t="s">
        <v>24</v>
      </c>
      <c r="C229" s="20" t="s">
        <v>25</v>
      </c>
      <c r="D229" s="27" t="s">
        <v>14</v>
      </c>
    </row>
    <row r="230" spans="1:4">
      <c r="A230" s="16" t="s">
        <v>8</v>
      </c>
      <c r="B230" s="17" t="s">
        <v>26</v>
      </c>
      <c r="C230" s="17" t="s">
        <v>27</v>
      </c>
      <c r="D230" s="26" t="s">
        <v>11</v>
      </c>
    </row>
    <row r="231" spans="1:4">
      <c r="A231" s="19" t="s">
        <v>8</v>
      </c>
      <c r="B231" s="20" t="s">
        <v>29</v>
      </c>
      <c r="C231" s="20" t="s">
        <v>30</v>
      </c>
      <c r="D231" s="27" t="s">
        <v>11</v>
      </c>
    </row>
    <row r="232" spans="1:4">
      <c r="A232" s="16" t="s">
        <v>15</v>
      </c>
      <c r="B232" s="17" t="s">
        <v>31</v>
      </c>
      <c r="C232" s="17" t="s">
        <v>32</v>
      </c>
      <c r="D232" s="26" t="s">
        <v>14</v>
      </c>
    </row>
    <row r="233" spans="1:4">
      <c r="A233" s="19" t="s">
        <v>15</v>
      </c>
      <c r="B233" s="20" t="s">
        <v>33</v>
      </c>
      <c r="C233" s="20" t="s">
        <v>34</v>
      </c>
      <c r="D233" s="27" t="s">
        <v>14</v>
      </c>
    </row>
    <row r="234" spans="1:4">
      <c r="A234" s="16" t="s">
        <v>18</v>
      </c>
      <c r="B234" s="17" t="s">
        <v>9</v>
      </c>
      <c r="C234" s="17" t="s">
        <v>10</v>
      </c>
      <c r="D234" s="26" t="s">
        <v>11</v>
      </c>
    </row>
    <row r="235" spans="1:4">
      <c r="A235" s="19" t="s">
        <v>18</v>
      </c>
      <c r="B235" s="20" t="s">
        <v>12</v>
      </c>
      <c r="C235" s="20" t="s">
        <v>13</v>
      </c>
      <c r="D235" s="27" t="s">
        <v>14</v>
      </c>
    </row>
    <row r="236" spans="1:4">
      <c r="A236" s="16" t="s">
        <v>23</v>
      </c>
      <c r="B236" s="17" t="s">
        <v>9</v>
      </c>
      <c r="C236" s="17" t="s">
        <v>10</v>
      </c>
      <c r="D236" s="26" t="s">
        <v>11</v>
      </c>
    </row>
    <row r="237" spans="1:4">
      <c r="A237" s="19" t="s">
        <v>23</v>
      </c>
      <c r="B237" s="20" t="s">
        <v>16</v>
      </c>
      <c r="C237" s="20" t="s">
        <v>17</v>
      </c>
      <c r="D237" s="27" t="s">
        <v>14</v>
      </c>
    </row>
    <row r="238" spans="1:4">
      <c r="A238" s="16" t="s">
        <v>28</v>
      </c>
      <c r="B238" s="17" t="s">
        <v>19</v>
      </c>
      <c r="C238" s="17" t="s">
        <v>20</v>
      </c>
      <c r="D238" s="26" t="s">
        <v>14</v>
      </c>
    </row>
    <row r="239" spans="1:4">
      <c r="A239" s="19" t="s">
        <v>28</v>
      </c>
      <c r="B239" s="20" t="s">
        <v>21</v>
      </c>
      <c r="C239" s="20" t="s">
        <v>22</v>
      </c>
      <c r="D239" s="27" t="s">
        <v>14</v>
      </c>
    </row>
    <row r="240" spans="1:4">
      <c r="A240" s="16" t="s">
        <v>8</v>
      </c>
      <c r="B240" s="17" t="s">
        <v>24</v>
      </c>
      <c r="C240" s="17" t="s">
        <v>25</v>
      </c>
      <c r="D240" s="26" t="s">
        <v>14</v>
      </c>
    </row>
    <row r="241" spans="1:4">
      <c r="A241" s="19" t="s">
        <v>8</v>
      </c>
      <c r="B241" s="20" t="s">
        <v>26</v>
      </c>
      <c r="C241" s="20" t="s">
        <v>27</v>
      </c>
      <c r="D241" s="27" t="s">
        <v>11</v>
      </c>
    </row>
    <row r="242" spans="1:4">
      <c r="A242" s="16" t="s">
        <v>8</v>
      </c>
      <c r="B242" s="17" t="s">
        <v>29</v>
      </c>
      <c r="C242" s="17" t="s">
        <v>30</v>
      </c>
      <c r="D242" s="26" t="s">
        <v>11</v>
      </c>
    </row>
    <row r="243" spans="1:4">
      <c r="A243" s="19" t="s">
        <v>15</v>
      </c>
      <c r="B243" s="20" t="s">
        <v>31</v>
      </c>
      <c r="C243" s="20" t="s">
        <v>32</v>
      </c>
      <c r="D243" s="27" t="s">
        <v>14</v>
      </c>
    </row>
    <row r="244" spans="1:4">
      <c r="A244" s="16" t="s">
        <v>15</v>
      </c>
      <c r="B244" s="17" t="s">
        <v>33</v>
      </c>
      <c r="C244" s="17" t="s">
        <v>34</v>
      </c>
      <c r="D244" s="26" t="s">
        <v>14</v>
      </c>
    </row>
    <row r="245" spans="1:4">
      <c r="A245" s="19" t="s">
        <v>18</v>
      </c>
      <c r="B245" s="20" t="s">
        <v>9</v>
      </c>
      <c r="C245" s="20" t="s">
        <v>10</v>
      </c>
      <c r="D245" s="27" t="s">
        <v>11</v>
      </c>
    </row>
    <row r="246" spans="1:4">
      <c r="A246" s="16" t="s">
        <v>8</v>
      </c>
      <c r="B246" s="17" t="s">
        <v>12</v>
      </c>
      <c r="C246" s="17" t="s">
        <v>13</v>
      </c>
      <c r="D246" s="26" t="s">
        <v>14</v>
      </c>
    </row>
    <row r="247" spans="1:4">
      <c r="A247" s="19" t="s">
        <v>8</v>
      </c>
      <c r="B247" s="20" t="s">
        <v>9</v>
      </c>
      <c r="C247" s="20" t="s">
        <v>10</v>
      </c>
      <c r="D247" s="27" t="s">
        <v>11</v>
      </c>
    </row>
    <row r="248" spans="1:4">
      <c r="A248" s="16" t="s">
        <v>15</v>
      </c>
      <c r="B248" s="17" t="s">
        <v>16</v>
      </c>
      <c r="C248" s="17" t="s">
        <v>17</v>
      </c>
      <c r="D248" s="26" t="s">
        <v>14</v>
      </c>
    </row>
    <row r="249" spans="1:4">
      <c r="A249" s="19" t="s">
        <v>15</v>
      </c>
      <c r="B249" s="20" t="s">
        <v>19</v>
      </c>
      <c r="C249" s="20" t="s">
        <v>20</v>
      </c>
      <c r="D249" s="27" t="s">
        <v>14</v>
      </c>
    </row>
    <row r="250" spans="1:4">
      <c r="A250" s="16" t="s">
        <v>18</v>
      </c>
      <c r="B250" s="17" t="s">
        <v>21</v>
      </c>
      <c r="C250" s="17" t="s">
        <v>22</v>
      </c>
      <c r="D250" s="26" t="s">
        <v>14</v>
      </c>
    </row>
    <row r="251" spans="1:4">
      <c r="A251" s="19" t="s">
        <v>18</v>
      </c>
      <c r="B251" s="20" t="s">
        <v>24</v>
      </c>
      <c r="C251" s="20" t="s">
        <v>25</v>
      </c>
      <c r="D251" s="27" t="s">
        <v>14</v>
      </c>
    </row>
    <row r="252" spans="1:4">
      <c r="A252" s="16" t="s">
        <v>23</v>
      </c>
      <c r="B252" s="17" t="s">
        <v>26</v>
      </c>
      <c r="C252" s="17" t="s">
        <v>27</v>
      </c>
      <c r="D252" s="26" t="s">
        <v>11</v>
      </c>
    </row>
    <row r="253" spans="1:4">
      <c r="A253" s="19" t="s">
        <v>23</v>
      </c>
      <c r="B253" s="20" t="s">
        <v>29</v>
      </c>
      <c r="C253" s="20" t="s">
        <v>30</v>
      </c>
      <c r="D253" s="27" t="s">
        <v>11</v>
      </c>
    </row>
    <row r="254" spans="1:4">
      <c r="A254" s="16" t="s">
        <v>28</v>
      </c>
      <c r="B254" s="17" t="s">
        <v>31</v>
      </c>
      <c r="C254" s="17" t="s">
        <v>32</v>
      </c>
      <c r="D254" s="26" t="s">
        <v>14</v>
      </c>
    </row>
    <row r="255" spans="1:4">
      <c r="A255" s="19" t="s">
        <v>28</v>
      </c>
      <c r="B255" s="20" t="s">
        <v>33</v>
      </c>
      <c r="C255" s="20" t="s">
        <v>34</v>
      </c>
      <c r="D255" s="27" t="s">
        <v>14</v>
      </c>
    </row>
    <row r="256" spans="1:4">
      <c r="A256" s="16" t="s">
        <v>8</v>
      </c>
      <c r="B256" s="17" t="s">
        <v>9</v>
      </c>
      <c r="C256" s="17" t="s">
        <v>10</v>
      </c>
      <c r="D256" s="26" t="s">
        <v>11</v>
      </c>
    </row>
    <row r="257" spans="1:4">
      <c r="A257" s="19" t="s">
        <v>8</v>
      </c>
      <c r="B257" s="20" t="s">
        <v>12</v>
      </c>
      <c r="C257" s="20" t="s">
        <v>13</v>
      </c>
      <c r="D257" s="27" t="s">
        <v>14</v>
      </c>
    </row>
    <row r="258" spans="1:4">
      <c r="A258" s="16" t="s">
        <v>8</v>
      </c>
      <c r="B258" s="17" t="s">
        <v>9</v>
      </c>
      <c r="C258" s="17" t="s">
        <v>10</v>
      </c>
      <c r="D258" s="26" t="s">
        <v>11</v>
      </c>
    </row>
    <row r="259" spans="1:4">
      <c r="A259" s="19" t="s">
        <v>15</v>
      </c>
      <c r="B259" s="20" t="s">
        <v>16</v>
      </c>
      <c r="C259" s="20" t="s">
        <v>17</v>
      </c>
      <c r="D259" s="27" t="s">
        <v>14</v>
      </c>
    </row>
    <row r="260" spans="1:4">
      <c r="A260" s="16" t="s">
        <v>15</v>
      </c>
      <c r="B260" s="17" t="s">
        <v>19</v>
      </c>
      <c r="C260" s="17" t="s">
        <v>20</v>
      </c>
      <c r="D260" s="26" t="s">
        <v>14</v>
      </c>
    </row>
    <row r="261" spans="1:4">
      <c r="A261" s="19" t="s">
        <v>18</v>
      </c>
      <c r="B261" s="20" t="s">
        <v>21</v>
      </c>
      <c r="C261" s="20" t="s">
        <v>22</v>
      </c>
      <c r="D261" s="27" t="s">
        <v>14</v>
      </c>
    </row>
    <row r="262" spans="1:4">
      <c r="A262" s="16" t="s">
        <v>18</v>
      </c>
      <c r="B262" s="17" t="s">
        <v>24</v>
      </c>
      <c r="C262" s="17" t="s">
        <v>25</v>
      </c>
      <c r="D262" s="26" t="s">
        <v>14</v>
      </c>
    </row>
    <row r="263" spans="1:4">
      <c r="A263" s="19" t="s">
        <v>23</v>
      </c>
      <c r="B263" s="20" t="s">
        <v>26</v>
      </c>
      <c r="C263" s="20" t="s">
        <v>27</v>
      </c>
      <c r="D263" s="27" t="s">
        <v>11</v>
      </c>
    </row>
    <row r="264" spans="1:4">
      <c r="A264" s="16" t="s">
        <v>23</v>
      </c>
      <c r="B264" s="17" t="s">
        <v>29</v>
      </c>
      <c r="C264" s="17" t="s">
        <v>30</v>
      </c>
      <c r="D264" s="26" t="s">
        <v>11</v>
      </c>
    </row>
    <row r="265" spans="1:4">
      <c r="A265" s="19" t="s">
        <v>28</v>
      </c>
      <c r="B265" s="20" t="s">
        <v>31</v>
      </c>
      <c r="C265" s="20" t="s">
        <v>32</v>
      </c>
      <c r="D265" s="27" t="s">
        <v>14</v>
      </c>
    </row>
    <row r="266" spans="1:4">
      <c r="A266" s="16" t="s">
        <v>28</v>
      </c>
      <c r="B266" s="17" t="s">
        <v>33</v>
      </c>
      <c r="C266" s="17" t="s">
        <v>34</v>
      </c>
      <c r="D266" s="26" t="s">
        <v>14</v>
      </c>
    </row>
    <row r="267" spans="1:4">
      <c r="A267" s="19" t="s">
        <v>8</v>
      </c>
      <c r="B267" s="20" t="s">
        <v>9</v>
      </c>
      <c r="C267" s="20" t="s">
        <v>10</v>
      </c>
      <c r="D267" s="27" t="s">
        <v>11</v>
      </c>
    </row>
    <row r="268" spans="1:4">
      <c r="A268" s="16" t="s">
        <v>8</v>
      </c>
      <c r="B268" s="17" t="s">
        <v>12</v>
      </c>
      <c r="C268" s="17" t="s">
        <v>13</v>
      </c>
      <c r="D268" s="26" t="s">
        <v>14</v>
      </c>
    </row>
    <row r="269" spans="1:4">
      <c r="A269" s="19" t="s">
        <v>8</v>
      </c>
      <c r="B269" s="20" t="s">
        <v>9</v>
      </c>
      <c r="C269" s="20" t="s">
        <v>10</v>
      </c>
      <c r="D269" s="27" t="s">
        <v>11</v>
      </c>
    </row>
    <row r="270" spans="1:4">
      <c r="A270" s="16" t="s">
        <v>15</v>
      </c>
      <c r="B270" s="17" t="s">
        <v>16</v>
      </c>
      <c r="C270" s="17" t="s">
        <v>17</v>
      </c>
      <c r="D270" s="26" t="s">
        <v>14</v>
      </c>
    </row>
    <row r="271" spans="1:4">
      <c r="A271" s="19" t="s">
        <v>15</v>
      </c>
      <c r="B271" s="20" t="s">
        <v>19</v>
      </c>
      <c r="C271" s="20" t="s">
        <v>20</v>
      </c>
      <c r="D271" s="27" t="s">
        <v>14</v>
      </c>
    </row>
    <row r="272" spans="1:4">
      <c r="A272" s="16" t="s">
        <v>18</v>
      </c>
      <c r="B272" s="17" t="s">
        <v>21</v>
      </c>
      <c r="C272" s="17" t="s">
        <v>22</v>
      </c>
      <c r="D272" s="26" t="s">
        <v>14</v>
      </c>
    </row>
    <row r="273" spans="1:4">
      <c r="A273" s="19" t="s">
        <v>8</v>
      </c>
      <c r="B273" s="20" t="s">
        <v>24</v>
      </c>
      <c r="C273" s="20" t="s">
        <v>25</v>
      </c>
      <c r="D273" s="27" t="s">
        <v>14</v>
      </c>
    </row>
    <row r="274" spans="1:4">
      <c r="A274" s="16" t="s">
        <v>8</v>
      </c>
      <c r="B274" s="17" t="s">
        <v>26</v>
      </c>
      <c r="C274" s="17" t="s">
        <v>27</v>
      </c>
      <c r="D274" s="26" t="s">
        <v>11</v>
      </c>
    </row>
    <row r="275" spans="1:4">
      <c r="A275" s="19" t="s">
        <v>15</v>
      </c>
      <c r="B275" s="20" t="s">
        <v>29</v>
      </c>
      <c r="C275" s="20" t="s">
        <v>30</v>
      </c>
      <c r="D275" s="27" t="s">
        <v>11</v>
      </c>
    </row>
    <row r="276" spans="1:4">
      <c r="A276" s="16" t="s">
        <v>15</v>
      </c>
      <c r="B276" s="17" t="s">
        <v>31</v>
      </c>
      <c r="C276" s="17" t="s">
        <v>32</v>
      </c>
      <c r="D276" s="26" t="s">
        <v>14</v>
      </c>
    </row>
    <row r="277" spans="1:4">
      <c r="A277" s="19" t="s">
        <v>18</v>
      </c>
      <c r="B277" s="20" t="s">
        <v>33</v>
      </c>
      <c r="C277" s="20" t="s">
        <v>34</v>
      </c>
      <c r="D277" s="27" t="s">
        <v>14</v>
      </c>
    </row>
    <row r="278" spans="1:4">
      <c r="A278" s="16" t="s">
        <v>18</v>
      </c>
      <c r="B278" s="17" t="s">
        <v>9</v>
      </c>
      <c r="C278" s="17" t="s">
        <v>10</v>
      </c>
      <c r="D278" s="26" t="s">
        <v>11</v>
      </c>
    </row>
    <row r="279" spans="1:4">
      <c r="A279" s="19" t="s">
        <v>23</v>
      </c>
      <c r="B279" s="20" t="s">
        <v>12</v>
      </c>
      <c r="C279" s="20" t="s">
        <v>13</v>
      </c>
      <c r="D279" s="27" t="s">
        <v>14</v>
      </c>
    </row>
    <row r="280" spans="1:4">
      <c r="A280" s="16" t="s">
        <v>23</v>
      </c>
      <c r="B280" s="17" t="s">
        <v>9</v>
      </c>
      <c r="C280" s="17" t="s">
        <v>10</v>
      </c>
      <c r="D280" s="26" t="s">
        <v>11</v>
      </c>
    </row>
    <row r="281" spans="1:4">
      <c r="A281" s="19" t="s">
        <v>28</v>
      </c>
      <c r="B281" s="20" t="s">
        <v>16</v>
      </c>
      <c r="C281" s="20" t="s">
        <v>17</v>
      </c>
      <c r="D281" s="27" t="s">
        <v>14</v>
      </c>
    </row>
    <row r="282" spans="1:4">
      <c r="A282" s="16" t="s">
        <v>28</v>
      </c>
      <c r="B282" s="17" t="s">
        <v>19</v>
      </c>
      <c r="C282" s="17" t="s">
        <v>20</v>
      </c>
      <c r="D282" s="26" t="s">
        <v>14</v>
      </c>
    </row>
    <row r="283" spans="1:4">
      <c r="A283" s="19" t="s">
        <v>8</v>
      </c>
      <c r="B283" s="20" t="s">
        <v>21</v>
      </c>
      <c r="C283" s="20" t="s">
        <v>22</v>
      </c>
      <c r="D283" s="27" t="s">
        <v>14</v>
      </c>
    </row>
    <row r="284" spans="1:4">
      <c r="A284" s="16" t="s">
        <v>8</v>
      </c>
      <c r="B284" s="17" t="s">
        <v>24</v>
      </c>
      <c r="C284" s="17" t="s">
        <v>25</v>
      </c>
      <c r="D284" s="26" t="s">
        <v>14</v>
      </c>
    </row>
    <row r="285" spans="1:4">
      <c r="A285" s="19" t="s">
        <v>8</v>
      </c>
      <c r="B285" s="20" t="s">
        <v>26</v>
      </c>
      <c r="C285" s="20" t="s">
        <v>27</v>
      </c>
      <c r="D285" s="27" t="s">
        <v>11</v>
      </c>
    </row>
    <row r="286" spans="1:4">
      <c r="A286" s="16" t="s">
        <v>15</v>
      </c>
      <c r="B286" s="17" t="s">
        <v>29</v>
      </c>
      <c r="C286" s="17" t="s">
        <v>30</v>
      </c>
      <c r="D286" s="26" t="s">
        <v>11</v>
      </c>
    </row>
    <row r="287" spans="1:4">
      <c r="A287" s="19" t="s">
        <v>15</v>
      </c>
      <c r="B287" s="20" t="s">
        <v>31</v>
      </c>
      <c r="C287" s="20" t="s">
        <v>32</v>
      </c>
      <c r="D287" s="27" t="s">
        <v>14</v>
      </c>
    </row>
    <row r="288" spans="1:4">
      <c r="A288" s="16" t="s">
        <v>18</v>
      </c>
      <c r="B288" s="17" t="s">
        <v>33</v>
      </c>
      <c r="C288" s="17" t="s">
        <v>34</v>
      </c>
      <c r="D288" s="26" t="s">
        <v>14</v>
      </c>
    </row>
    <row r="289" spans="1:4">
      <c r="A289" s="19" t="s">
        <v>18</v>
      </c>
      <c r="B289" s="20" t="s">
        <v>9</v>
      </c>
      <c r="C289" s="20" t="s">
        <v>10</v>
      </c>
      <c r="D289" s="27" t="s">
        <v>11</v>
      </c>
    </row>
    <row r="290" spans="1:4">
      <c r="A290" s="16" t="s">
        <v>23</v>
      </c>
      <c r="B290" s="17" t="s">
        <v>12</v>
      </c>
      <c r="C290" s="17" t="s">
        <v>13</v>
      </c>
      <c r="D290" s="26" t="s">
        <v>14</v>
      </c>
    </row>
    <row r="291" spans="1:4">
      <c r="A291" s="19" t="s">
        <v>23</v>
      </c>
      <c r="B291" s="20" t="s">
        <v>9</v>
      </c>
      <c r="C291" s="20" t="s">
        <v>10</v>
      </c>
      <c r="D291" s="27" t="s">
        <v>11</v>
      </c>
    </row>
    <row r="292" spans="1:4">
      <c r="A292" s="16" t="s">
        <v>28</v>
      </c>
      <c r="B292" s="17" t="s">
        <v>16</v>
      </c>
      <c r="C292" s="17" t="s">
        <v>17</v>
      </c>
      <c r="D292" s="26" t="s">
        <v>14</v>
      </c>
    </row>
    <row r="293" spans="1:4">
      <c r="A293" s="19" t="s">
        <v>28</v>
      </c>
      <c r="B293" s="20" t="s">
        <v>19</v>
      </c>
      <c r="C293" s="20" t="s">
        <v>20</v>
      </c>
      <c r="D293" s="27" t="s">
        <v>14</v>
      </c>
    </row>
    <row r="294" spans="1:4">
      <c r="A294" s="16" t="s">
        <v>8</v>
      </c>
      <c r="B294" s="17" t="s">
        <v>21</v>
      </c>
      <c r="C294" s="17" t="s">
        <v>22</v>
      </c>
      <c r="D294" s="26" t="s">
        <v>14</v>
      </c>
    </row>
    <row r="295" spans="1:4">
      <c r="A295" s="19" t="s">
        <v>8</v>
      </c>
      <c r="B295" s="20" t="s">
        <v>24</v>
      </c>
      <c r="C295" s="20" t="s">
        <v>25</v>
      </c>
      <c r="D295" s="27" t="s">
        <v>14</v>
      </c>
    </row>
    <row r="296" spans="1:4">
      <c r="A296" s="16" t="s">
        <v>8</v>
      </c>
      <c r="B296" s="17" t="s">
        <v>26</v>
      </c>
      <c r="C296" s="17" t="s">
        <v>27</v>
      </c>
      <c r="D296" s="26" t="s">
        <v>11</v>
      </c>
    </row>
    <row r="297" spans="1:4">
      <c r="A297" s="19" t="s">
        <v>15</v>
      </c>
      <c r="B297" s="20" t="s">
        <v>29</v>
      </c>
      <c r="C297" s="20" t="s">
        <v>30</v>
      </c>
      <c r="D297" s="27" t="s">
        <v>11</v>
      </c>
    </row>
    <row r="298" spans="1:4">
      <c r="A298" s="16" t="s">
        <v>15</v>
      </c>
      <c r="B298" s="17" t="s">
        <v>31</v>
      </c>
      <c r="C298" s="17" t="s">
        <v>32</v>
      </c>
      <c r="D298" s="26" t="s">
        <v>14</v>
      </c>
    </row>
    <row r="299" spans="1:4">
      <c r="A299" s="19" t="s">
        <v>18</v>
      </c>
      <c r="B299" s="20" t="s">
        <v>33</v>
      </c>
      <c r="C299" s="20" t="s">
        <v>34</v>
      </c>
      <c r="D299" s="27" t="s">
        <v>14</v>
      </c>
    </row>
    <row r="300" spans="1:4">
      <c r="A300" s="16" t="s">
        <v>8</v>
      </c>
      <c r="B300" s="17" t="s">
        <v>9</v>
      </c>
      <c r="C300" s="17" t="s">
        <v>10</v>
      </c>
      <c r="D300" s="26" t="s">
        <v>11</v>
      </c>
    </row>
    <row r="301" spans="1:4">
      <c r="A301" s="28" t="s">
        <v>37</v>
      </c>
      <c r="B301" s="29" t="s">
        <v>35</v>
      </c>
      <c r="C301" s="29" t="s">
        <v>13</v>
      </c>
      <c r="D301" s="30" t="s">
        <v>14</v>
      </c>
    </row>
    <row r="302" spans="1:4">
      <c r="A302" s="22" t="s">
        <v>18</v>
      </c>
      <c r="B302" s="23" t="s">
        <v>21</v>
      </c>
      <c r="C302" s="23" t="s">
        <v>20</v>
      </c>
      <c r="D302" s="31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5"/>
  <sheetViews>
    <sheetView workbookViewId="0">
      <selection activeCell="D1" sqref="D$1:D$1048576"/>
    </sheetView>
  </sheetViews>
  <sheetFormatPr defaultColWidth="9" defaultRowHeight="14" outlineLevelCol="5"/>
  <cols>
    <col min="1" max="1" width="12.4545454545455" customWidth="1"/>
    <col min="2" max="3" width="9.90909090909091" customWidth="1"/>
    <col min="4" max="4" width="7.72727272727273" customWidth="1"/>
    <col min="5" max="6" width="11.9090909090909" customWidth="1"/>
  </cols>
  <sheetData>
    <row r="1" spans="1:6">
      <c r="A1" s="13" t="s">
        <v>38</v>
      </c>
      <c r="B1" s="14" t="s">
        <v>4</v>
      </c>
      <c r="C1" s="14" t="s">
        <v>5</v>
      </c>
      <c r="D1" s="14" t="s">
        <v>39</v>
      </c>
      <c r="E1" s="14" t="s">
        <v>40</v>
      </c>
      <c r="F1" s="15" t="s">
        <v>41</v>
      </c>
    </row>
    <row r="2" spans="1:6">
      <c r="A2" s="16" t="s">
        <v>42</v>
      </c>
      <c r="B2" s="17" t="s">
        <v>8</v>
      </c>
      <c r="C2" s="17" t="s">
        <v>9</v>
      </c>
      <c r="D2" s="17" t="s">
        <v>43</v>
      </c>
      <c r="E2" s="17">
        <v>2488</v>
      </c>
      <c r="F2" s="18">
        <v>45658</v>
      </c>
    </row>
    <row r="3" spans="1:6">
      <c r="A3" s="19" t="s">
        <v>44</v>
      </c>
      <c r="B3" s="20" t="s">
        <v>8</v>
      </c>
      <c r="C3" s="20" t="s">
        <v>12</v>
      </c>
      <c r="D3" s="20" t="s">
        <v>45</v>
      </c>
      <c r="E3" s="20">
        <v>2708</v>
      </c>
      <c r="F3" s="21">
        <v>45658</v>
      </c>
    </row>
    <row r="4" spans="1:6">
      <c r="A4" s="16" t="s">
        <v>46</v>
      </c>
      <c r="B4" s="17" t="s">
        <v>15</v>
      </c>
      <c r="C4" s="17" t="s">
        <v>9</v>
      </c>
      <c r="D4" s="17" t="s">
        <v>43</v>
      </c>
      <c r="E4" s="17">
        <v>3583</v>
      </c>
      <c r="F4" s="18">
        <v>45658</v>
      </c>
    </row>
    <row r="5" spans="1:6">
      <c r="A5" s="19" t="s">
        <v>47</v>
      </c>
      <c r="B5" s="20" t="s">
        <v>15</v>
      </c>
      <c r="C5" s="20" t="s">
        <v>16</v>
      </c>
      <c r="D5" s="20" t="s">
        <v>48</v>
      </c>
      <c r="E5" s="20">
        <v>2398</v>
      </c>
      <c r="F5" s="21">
        <v>45658</v>
      </c>
    </row>
    <row r="6" spans="1:6">
      <c r="A6" s="16" t="s">
        <v>49</v>
      </c>
      <c r="B6" s="17" t="s">
        <v>18</v>
      </c>
      <c r="C6" s="17" t="s">
        <v>19</v>
      </c>
      <c r="D6" s="17" t="s">
        <v>50</v>
      </c>
      <c r="E6" s="17">
        <v>3355</v>
      </c>
      <c r="F6" s="18">
        <v>45658</v>
      </c>
    </row>
    <row r="7" spans="1:6">
      <c r="A7" s="19" t="s">
        <v>51</v>
      </c>
      <c r="B7" s="20" t="s">
        <v>18</v>
      </c>
      <c r="C7" s="20" t="s">
        <v>21</v>
      </c>
      <c r="D7" s="20" t="s">
        <v>52</v>
      </c>
      <c r="E7" s="20">
        <v>3455</v>
      </c>
      <c r="F7" s="21">
        <v>45658</v>
      </c>
    </row>
    <row r="8" spans="1:6">
      <c r="A8" s="16" t="s">
        <v>53</v>
      </c>
      <c r="B8" s="17" t="s">
        <v>8</v>
      </c>
      <c r="C8" s="17" t="s">
        <v>12</v>
      </c>
      <c r="D8" s="17" t="s">
        <v>45</v>
      </c>
      <c r="E8" s="17">
        <v>1058</v>
      </c>
      <c r="F8" s="18">
        <v>45659</v>
      </c>
    </row>
    <row r="9" spans="1:6">
      <c r="A9" s="19" t="s">
        <v>54</v>
      </c>
      <c r="B9" s="20" t="s">
        <v>23</v>
      </c>
      <c r="C9" s="20" t="s">
        <v>24</v>
      </c>
      <c r="D9" s="20" t="s">
        <v>55</v>
      </c>
      <c r="E9" s="20">
        <v>1052</v>
      </c>
      <c r="F9" s="21">
        <v>45659</v>
      </c>
    </row>
    <row r="10" spans="1:6">
      <c r="A10" s="16" t="s">
        <v>56</v>
      </c>
      <c r="B10" s="17" t="s">
        <v>23</v>
      </c>
      <c r="C10" s="17" t="s">
        <v>26</v>
      </c>
      <c r="D10" s="17" t="s">
        <v>45</v>
      </c>
      <c r="E10" s="17">
        <v>2250</v>
      </c>
      <c r="F10" s="18">
        <v>45659</v>
      </c>
    </row>
    <row r="11" spans="1:6">
      <c r="A11" s="19" t="s">
        <v>57</v>
      </c>
      <c r="B11" s="20" t="s">
        <v>28</v>
      </c>
      <c r="C11" s="20" t="s">
        <v>29</v>
      </c>
      <c r="D11" s="20" t="s">
        <v>48</v>
      </c>
      <c r="E11" s="20">
        <v>4405</v>
      </c>
      <c r="F11" s="21">
        <v>45659</v>
      </c>
    </row>
    <row r="12" spans="1:6">
      <c r="A12" s="16" t="s">
        <v>58</v>
      </c>
      <c r="B12" s="17" t="s">
        <v>28</v>
      </c>
      <c r="C12" s="17" t="s">
        <v>31</v>
      </c>
      <c r="D12" s="17" t="s">
        <v>43</v>
      </c>
      <c r="E12" s="17">
        <v>933</v>
      </c>
      <c r="F12" s="18">
        <v>45659</v>
      </c>
    </row>
    <row r="13" spans="1:6">
      <c r="A13" s="19" t="s">
        <v>59</v>
      </c>
      <c r="B13" s="20" t="s">
        <v>8</v>
      </c>
      <c r="C13" s="20" t="s">
        <v>33</v>
      </c>
      <c r="D13" s="20" t="s">
        <v>50</v>
      </c>
      <c r="E13" s="20">
        <v>3127</v>
      </c>
      <c r="F13" s="21">
        <v>45660</v>
      </c>
    </row>
    <row r="14" spans="1:6">
      <c r="A14" s="16" t="s">
        <v>60</v>
      </c>
      <c r="B14" s="17" t="s">
        <v>15</v>
      </c>
      <c r="C14" s="17" t="s">
        <v>16</v>
      </c>
      <c r="D14" s="17" t="s">
        <v>48</v>
      </c>
      <c r="E14" s="17">
        <v>1546</v>
      </c>
      <c r="F14" s="18">
        <v>45660</v>
      </c>
    </row>
    <row r="15" spans="1:6">
      <c r="A15" s="19" t="s">
        <v>61</v>
      </c>
      <c r="B15" s="20" t="s">
        <v>18</v>
      </c>
      <c r="C15" s="20" t="s">
        <v>19</v>
      </c>
      <c r="D15" s="20" t="s">
        <v>50</v>
      </c>
      <c r="E15" s="20">
        <v>3343</v>
      </c>
      <c r="F15" s="21">
        <v>45660</v>
      </c>
    </row>
    <row r="16" spans="1:6">
      <c r="A16" s="16" t="s">
        <v>62</v>
      </c>
      <c r="B16" s="17" t="s">
        <v>23</v>
      </c>
      <c r="C16" s="17" t="s">
        <v>21</v>
      </c>
      <c r="D16" s="17" t="s">
        <v>52</v>
      </c>
      <c r="E16" s="17">
        <v>3528</v>
      </c>
      <c r="F16" s="18">
        <v>45660</v>
      </c>
    </row>
    <row r="17" spans="1:6">
      <c r="A17" s="19" t="s">
        <v>63</v>
      </c>
      <c r="B17" s="20" t="s">
        <v>28</v>
      </c>
      <c r="C17" s="20" t="s">
        <v>9</v>
      </c>
      <c r="D17" s="20" t="s">
        <v>55</v>
      </c>
      <c r="E17" s="20">
        <v>2756</v>
      </c>
      <c r="F17" s="21">
        <v>45660</v>
      </c>
    </row>
    <row r="18" spans="1:6">
      <c r="A18" s="16" t="s">
        <v>64</v>
      </c>
      <c r="B18" s="17" t="s">
        <v>8</v>
      </c>
      <c r="C18" s="17" t="s">
        <v>12</v>
      </c>
      <c r="D18" s="17" t="s">
        <v>45</v>
      </c>
      <c r="E18" s="17">
        <v>4851</v>
      </c>
      <c r="F18" s="18">
        <v>45661</v>
      </c>
    </row>
    <row r="19" spans="1:6">
      <c r="A19" s="19" t="s">
        <v>65</v>
      </c>
      <c r="B19" s="20" t="s">
        <v>15</v>
      </c>
      <c r="C19" s="20" t="s">
        <v>9</v>
      </c>
      <c r="D19" s="20" t="s">
        <v>48</v>
      </c>
      <c r="E19" s="20">
        <v>1806</v>
      </c>
      <c r="F19" s="21">
        <v>45661</v>
      </c>
    </row>
    <row r="20" spans="1:6">
      <c r="A20" s="16" t="s">
        <v>66</v>
      </c>
      <c r="B20" s="17" t="s">
        <v>18</v>
      </c>
      <c r="C20" s="17" t="s">
        <v>16</v>
      </c>
      <c r="D20" s="17" t="s">
        <v>43</v>
      </c>
      <c r="E20" s="17">
        <v>1762</v>
      </c>
      <c r="F20" s="18">
        <v>45661</v>
      </c>
    </row>
    <row r="21" spans="1:6">
      <c r="A21" s="19" t="s">
        <v>67</v>
      </c>
      <c r="B21" s="20" t="s">
        <v>23</v>
      </c>
      <c r="C21" s="20" t="s">
        <v>19</v>
      </c>
      <c r="D21" s="20" t="s">
        <v>43</v>
      </c>
      <c r="E21" s="20">
        <v>571</v>
      </c>
      <c r="F21" s="21">
        <v>45661</v>
      </c>
    </row>
    <row r="22" spans="1:6">
      <c r="A22" s="16" t="s">
        <v>68</v>
      </c>
      <c r="B22" s="17" t="s">
        <v>28</v>
      </c>
      <c r="C22" s="17" t="s">
        <v>21</v>
      </c>
      <c r="D22" s="17" t="s">
        <v>45</v>
      </c>
      <c r="E22" s="17">
        <v>1403</v>
      </c>
      <c r="F22" s="18">
        <v>45662</v>
      </c>
    </row>
    <row r="23" spans="1:6">
      <c r="A23" s="19" t="s">
        <v>69</v>
      </c>
      <c r="B23" s="20" t="s">
        <v>8</v>
      </c>
      <c r="C23" s="20" t="s">
        <v>12</v>
      </c>
      <c r="D23" s="20" t="s">
        <v>43</v>
      </c>
      <c r="E23" s="20">
        <v>4931</v>
      </c>
      <c r="F23" s="21">
        <v>45663</v>
      </c>
    </row>
    <row r="24" spans="1:6">
      <c r="A24" s="16" t="s">
        <v>70</v>
      </c>
      <c r="B24" s="17" t="s">
        <v>8</v>
      </c>
      <c r="C24" s="17" t="s">
        <v>24</v>
      </c>
      <c r="D24" s="17" t="s">
        <v>48</v>
      </c>
      <c r="E24" s="17">
        <v>3565</v>
      </c>
      <c r="F24" s="18">
        <v>45664</v>
      </c>
    </row>
    <row r="25" spans="1:6">
      <c r="A25" s="19" t="s">
        <v>71</v>
      </c>
      <c r="B25" s="20" t="s">
        <v>15</v>
      </c>
      <c r="C25" s="20" t="s">
        <v>26</v>
      </c>
      <c r="D25" s="20" t="s">
        <v>50</v>
      </c>
      <c r="E25" s="20">
        <v>2555</v>
      </c>
      <c r="F25" s="21">
        <v>45665</v>
      </c>
    </row>
    <row r="26" spans="1:6">
      <c r="A26" s="16" t="s">
        <v>72</v>
      </c>
      <c r="B26" s="17" t="s">
        <v>15</v>
      </c>
      <c r="C26" s="17" t="s">
        <v>29</v>
      </c>
      <c r="D26" s="17" t="s">
        <v>52</v>
      </c>
      <c r="E26" s="17">
        <v>4148</v>
      </c>
      <c r="F26" s="18">
        <v>45666</v>
      </c>
    </row>
    <row r="27" spans="1:6">
      <c r="A27" s="19" t="s">
        <v>73</v>
      </c>
      <c r="B27" s="20" t="s">
        <v>18</v>
      </c>
      <c r="C27" s="20" t="s">
        <v>31</v>
      </c>
      <c r="D27" s="20" t="s">
        <v>45</v>
      </c>
      <c r="E27" s="20">
        <v>1670</v>
      </c>
      <c r="F27" s="21">
        <v>45667</v>
      </c>
    </row>
    <row r="28" spans="1:6">
      <c r="A28" s="16" t="s">
        <v>74</v>
      </c>
      <c r="B28" s="17" t="s">
        <v>18</v>
      </c>
      <c r="C28" s="17" t="s">
        <v>33</v>
      </c>
      <c r="D28" s="17" t="s">
        <v>55</v>
      </c>
      <c r="E28" s="17">
        <v>2718</v>
      </c>
      <c r="F28" s="18">
        <v>45668</v>
      </c>
    </row>
    <row r="29" spans="1:6">
      <c r="A29" s="19" t="s">
        <v>75</v>
      </c>
      <c r="B29" s="20" t="s">
        <v>8</v>
      </c>
      <c r="C29" s="20" t="s">
        <v>16</v>
      </c>
      <c r="D29" s="20" t="s">
        <v>45</v>
      </c>
      <c r="E29" s="20">
        <v>3288</v>
      </c>
      <c r="F29" s="21">
        <v>45669</v>
      </c>
    </row>
    <row r="30" spans="1:6">
      <c r="A30" s="16" t="s">
        <v>76</v>
      </c>
      <c r="B30" s="17" t="s">
        <v>23</v>
      </c>
      <c r="C30" s="17" t="s">
        <v>19</v>
      </c>
      <c r="D30" s="17" t="s">
        <v>48</v>
      </c>
      <c r="E30" s="17">
        <v>946</v>
      </c>
      <c r="F30" s="18">
        <v>45670</v>
      </c>
    </row>
    <row r="31" spans="1:6">
      <c r="A31" s="19" t="s">
        <v>77</v>
      </c>
      <c r="B31" s="20" t="s">
        <v>23</v>
      </c>
      <c r="C31" s="20" t="s">
        <v>21</v>
      </c>
      <c r="D31" s="20" t="s">
        <v>43</v>
      </c>
      <c r="E31" s="20">
        <v>2787</v>
      </c>
      <c r="F31" s="21">
        <v>45671</v>
      </c>
    </row>
    <row r="32" spans="1:6">
      <c r="A32" s="16" t="s">
        <v>78</v>
      </c>
      <c r="B32" s="17" t="s">
        <v>28</v>
      </c>
      <c r="C32" s="17" t="s">
        <v>9</v>
      </c>
      <c r="D32" s="17" t="s">
        <v>43</v>
      </c>
      <c r="E32" s="17">
        <v>1760</v>
      </c>
      <c r="F32" s="18">
        <v>45672</v>
      </c>
    </row>
    <row r="33" spans="1:6">
      <c r="A33" s="19" t="s">
        <v>79</v>
      </c>
      <c r="B33" s="20" t="s">
        <v>28</v>
      </c>
      <c r="C33" s="20" t="s">
        <v>12</v>
      </c>
      <c r="D33" s="20" t="s">
        <v>45</v>
      </c>
      <c r="E33" s="20">
        <v>887</v>
      </c>
      <c r="F33" s="21">
        <v>45673</v>
      </c>
    </row>
    <row r="34" spans="1:6">
      <c r="A34" s="16" t="s">
        <v>80</v>
      </c>
      <c r="B34" s="17" t="s">
        <v>8</v>
      </c>
      <c r="C34" s="17" t="s">
        <v>9</v>
      </c>
      <c r="D34" s="17" t="s">
        <v>43</v>
      </c>
      <c r="E34" s="17">
        <v>3945</v>
      </c>
      <c r="F34" s="18">
        <v>45674</v>
      </c>
    </row>
    <row r="35" spans="1:6">
      <c r="A35" s="19" t="s">
        <v>81</v>
      </c>
      <c r="B35" s="20" t="s">
        <v>15</v>
      </c>
      <c r="C35" s="20" t="s">
        <v>16</v>
      </c>
      <c r="D35" s="20" t="s">
        <v>48</v>
      </c>
      <c r="E35" s="20">
        <v>2847</v>
      </c>
      <c r="F35" s="21">
        <v>45675</v>
      </c>
    </row>
    <row r="36" spans="1:6">
      <c r="A36" s="16" t="s">
        <v>82</v>
      </c>
      <c r="B36" s="17" t="s">
        <v>18</v>
      </c>
      <c r="C36" s="17" t="s">
        <v>19</v>
      </c>
      <c r="D36" s="17" t="s">
        <v>50</v>
      </c>
      <c r="E36" s="17">
        <v>3936</v>
      </c>
      <c r="F36" s="18">
        <v>45676</v>
      </c>
    </row>
    <row r="37" spans="1:6">
      <c r="A37" s="19" t="s">
        <v>83</v>
      </c>
      <c r="B37" s="20" t="s">
        <v>23</v>
      </c>
      <c r="C37" s="20" t="s">
        <v>21</v>
      </c>
      <c r="D37" s="20" t="s">
        <v>52</v>
      </c>
      <c r="E37" s="20">
        <v>4921</v>
      </c>
      <c r="F37" s="21">
        <v>45677</v>
      </c>
    </row>
    <row r="38" spans="1:6">
      <c r="A38" s="16" t="s">
        <v>84</v>
      </c>
      <c r="B38" s="17" t="s">
        <v>28</v>
      </c>
      <c r="C38" s="17" t="s">
        <v>12</v>
      </c>
      <c r="D38" s="17" t="s">
        <v>45</v>
      </c>
      <c r="E38" s="17">
        <v>2405</v>
      </c>
      <c r="F38" s="18">
        <v>45678</v>
      </c>
    </row>
    <row r="39" spans="1:6">
      <c r="A39" s="19" t="s">
        <v>85</v>
      </c>
      <c r="B39" s="20" t="s">
        <v>8</v>
      </c>
      <c r="C39" s="20" t="s">
        <v>24</v>
      </c>
      <c r="D39" s="20" t="s">
        <v>55</v>
      </c>
      <c r="E39" s="20">
        <v>1932</v>
      </c>
      <c r="F39" s="21">
        <v>45679</v>
      </c>
    </row>
    <row r="40" spans="1:6">
      <c r="A40" s="16" t="s">
        <v>86</v>
      </c>
      <c r="B40" s="17" t="s">
        <v>15</v>
      </c>
      <c r="C40" s="17" t="s">
        <v>26</v>
      </c>
      <c r="D40" s="17" t="s">
        <v>45</v>
      </c>
      <c r="E40" s="17">
        <v>1512</v>
      </c>
      <c r="F40" s="18">
        <v>45680</v>
      </c>
    </row>
    <row r="41" spans="1:6">
      <c r="A41" s="19" t="s">
        <v>87</v>
      </c>
      <c r="B41" s="20" t="s">
        <v>18</v>
      </c>
      <c r="C41" s="20" t="s">
        <v>29</v>
      </c>
      <c r="D41" s="20" t="s">
        <v>48</v>
      </c>
      <c r="E41" s="20">
        <v>4735</v>
      </c>
      <c r="F41" s="21">
        <v>45681</v>
      </c>
    </row>
    <row r="42" spans="1:6">
      <c r="A42" s="16" t="s">
        <v>88</v>
      </c>
      <c r="B42" s="17" t="s">
        <v>23</v>
      </c>
      <c r="C42" s="17" t="s">
        <v>31</v>
      </c>
      <c r="D42" s="17" t="s">
        <v>43</v>
      </c>
      <c r="E42" s="17">
        <v>626</v>
      </c>
      <c r="F42" s="18">
        <v>45682</v>
      </c>
    </row>
    <row r="43" spans="1:6">
      <c r="A43" s="19" t="s">
        <v>89</v>
      </c>
      <c r="B43" s="20" t="s">
        <v>28</v>
      </c>
      <c r="C43" s="20" t="s">
        <v>33</v>
      </c>
      <c r="D43" s="20" t="s">
        <v>50</v>
      </c>
      <c r="E43" s="20">
        <v>512</v>
      </c>
      <c r="F43" s="21">
        <v>45683</v>
      </c>
    </row>
    <row r="44" spans="1:6">
      <c r="A44" s="16" t="s">
        <v>90</v>
      </c>
      <c r="B44" s="17" t="s">
        <v>8</v>
      </c>
      <c r="C44" s="17" t="s">
        <v>16</v>
      </c>
      <c r="D44" s="17" t="s">
        <v>48</v>
      </c>
      <c r="E44" s="17">
        <v>1118</v>
      </c>
      <c r="F44" s="18">
        <v>45684</v>
      </c>
    </row>
    <row r="45" spans="1:6">
      <c r="A45" s="19" t="s">
        <v>91</v>
      </c>
      <c r="B45" s="20" t="s">
        <v>8</v>
      </c>
      <c r="C45" s="20" t="s">
        <v>19</v>
      </c>
      <c r="D45" s="20" t="s">
        <v>50</v>
      </c>
      <c r="E45" s="20">
        <v>557</v>
      </c>
      <c r="F45" s="21">
        <v>45685</v>
      </c>
    </row>
    <row r="46" spans="1:6">
      <c r="A46" s="16" t="s">
        <v>92</v>
      </c>
      <c r="B46" s="17" t="s">
        <v>15</v>
      </c>
      <c r="C46" s="17" t="s">
        <v>21</v>
      </c>
      <c r="D46" s="17" t="s">
        <v>52</v>
      </c>
      <c r="E46" s="17">
        <v>4638</v>
      </c>
      <c r="F46" s="18">
        <v>45686</v>
      </c>
    </row>
    <row r="47" spans="1:6">
      <c r="A47" s="19" t="s">
        <v>93</v>
      </c>
      <c r="B47" s="20" t="s">
        <v>15</v>
      </c>
      <c r="C47" s="20" t="s">
        <v>9</v>
      </c>
      <c r="D47" s="20" t="s">
        <v>55</v>
      </c>
      <c r="E47" s="20">
        <v>2045</v>
      </c>
      <c r="F47" s="21">
        <v>45687</v>
      </c>
    </row>
    <row r="48" spans="1:6">
      <c r="A48" s="16" t="s">
        <v>94</v>
      </c>
      <c r="B48" s="17" t="s">
        <v>18</v>
      </c>
      <c r="C48" s="17" t="s">
        <v>12</v>
      </c>
      <c r="D48" s="17" t="s">
        <v>45</v>
      </c>
      <c r="E48" s="17">
        <v>670</v>
      </c>
      <c r="F48" s="18">
        <v>45688</v>
      </c>
    </row>
    <row r="49" spans="1:6">
      <c r="A49" s="19" t="s">
        <v>95</v>
      </c>
      <c r="B49" s="20" t="s">
        <v>18</v>
      </c>
      <c r="C49" s="20" t="s">
        <v>9</v>
      </c>
      <c r="D49" s="20" t="s">
        <v>48</v>
      </c>
      <c r="E49" s="20">
        <v>975</v>
      </c>
      <c r="F49" s="21">
        <v>45689</v>
      </c>
    </row>
    <row r="50" spans="1:6">
      <c r="A50" s="16" t="s">
        <v>96</v>
      </c>
      <c r="B50" s="17" t="s">
        <v>8</v>
      </c>
      <c r="C50" s="17" t="s">
        <v>16</v>
      </c>
      <c r="D50" s="17" t="s">
        <v>43</v>
      </c>
      <c r="E50" s="17">
        <v>2467</v>
      </c>
      <c r="F50" s="18">
        <v>45690</v>
      </c>
    </row>
    <row r="51" spans="1:6">
      <c r="A51" s="19" t="s">
        <v>97</v>
      </c>
      <c r="B51" s="20" t="s">
        <v>23</v>
      </c>
      <c r="C51" s="20" t="s">
        <v>19</v>
      </c>
      <c r="D51" s="20" t="s">
        <v>43</v>
      </c>
      <c r="E51" s="20">
        <v>2999</v>
      </c>
      <c r="F51" s="21">
        <v>45691</v>
      </c>
    </row>
    <row r="52" spans="1:6">
      <c r="A52" s="16" t="s">
        <v>98</v>
      </c>
      <c r="B52" s="17" t="s">
        <v>23</v>
      </c>
      <c r="C52" s="17" t="s">
        <v>21</v>
      </c>
      <c r="D52" s="17" t="s">
        <v>45</v>
      </c>
      <c r="E52" s="17">
        <v>2749</v>
      </c>
      <c r="F52" s="18">
        <v>45692</v>
      </c>
    </row>
    <row r="53" spans="1:6">
      <c r="A53" s="19" t="s">
        <v>99</v>
      </c>
      <c r="B53" s="20" t="s">
        <v>28</v>
      </c>
      <c r="C53" s="20" t="s">
        <v>12</v>
      </c>
      <c r="D53" s="20" t="s">
        <v>43</v>
      </c>
      <c r="E53" s="20">
        <v>4546</v>
      </c>
      <c r="F53" s="21">
        <v>45693</v>
      </c>
    </row>
    <row r="54" spans="1:6">
      <c r="A54" s="16" t="s">
        <v>100</v>
      </c>
      <c r="B54" s="17" t="s">
        <v>28</v>
      </c>
      <c r="C54" s="17" t="s">
        <v>24</v>
      </c>
      <c r="D54" s="17" t="s">
        <v>45</v>
      </c>
      <c r="E54" s="17">
        <v>2107</v>
      </c>
      <c r="F54" s="18">
        <v>45694</v>
      </c>
    </row>
    <row r="55" spans="1:6">
      <c r="A55" s="19" t="s">
        <v>101</v>
      </c>
      <c r="B55" s="20" t="s">
        <v>8</v>
      </c>
      <c r="C55" s="20" t="s">
        <v>26</v>
      </c>
      <c r="D55" s="20" t="s">
        <v>43</v>
      </c>
      <c r="E55" s="20">
        <v>510</v>
      </c>
      <c r="F55" s="21">
        <v>45695</v>
      </c>
    </row>
    <row r="56" spans="1:6">
      <c r="A56" s="16" t="s">
        <v>102</v>
      </c>
      <c r="B56" s="17" t="s">
        <v>15</v>
      </c>
      <c r="C56" s="17" t="s">
        <v>29</v>
      </c>
      <c r="D56" s="17" t="s">
        <v>48</v>
      </c>
      <c r="E56" s="17">
        <v>1059</v>
      </c>
      <c r="F56" s="18">
        <v>45696</v>
      </c>
    </row>
    <row r="57" spans="1:6">
      <c r="A57" s="19" t="s">
        <v>103</v>
      </c>
      <c r="B57" s="20" t="s">
        <v>18</v>
      </c>
      <c r="C57" s="20" t="s">
        <v>31</v>
      </c>
      <c r="D57" s="20" t="s">
        <v>50</v>
      </c>
      <c r="E57" s="20">
        <v>1614</v>
      </c>
      <c r="F57" s="21">
        <v>45697</v>
      </c>
    </row>
    <row r="58" spans="1:6">
      <c r="A58" s="16" t="s">
        <v>104</v>
      </c>
      <c r="B58" s="17" t="s">
        <v>23</v>
      </c>
      <c r="C58" s="17" t="s">
        <v>33</v>
      </c>
      <c r="D58" s="17" t="s">
        <v>52</v>
      </c>
      <c r="E58" s="17">
        <v>1830</v>
      </c>
      <c r="F58" s="18">
        <v>45698</v>
      </c>
    </row>
    <row r="59" spans="1:6">
      <c r="A59" s="19" t="s">
        <v>105</v>
      </c>
      <c r="B59" s="20" t="s">
        <v>28</v>
      </c>
      <c r="C59" s="20" t="s">
        <v>16</v>
      </c>
      <c r="D59" s="20" t="s">
        <v>45</v>
      </c>
      <c r="E59" s="20">
        <v>4815</v>
      </c>
      <c r="F59" s="21">
        <v>45699</v>
      </c>
    </row>
    <row r="60" spans="1:6">
      <c r="A60" s="16" t="s">
        <v>106</v>
      </c>
      <c r="B60" s="17" t="s">
        <v>8</v>
      </c>
      <c r="C60" s="17" t="s">
        <v>19</v>
      </c>
      <c r="D60" s="17" t="s">
        <v>55</v>
      </c>
      <c r="E60" s="17">
        <v>776</v>
      </c>
      <c r="F60" s="18">
        <v>45700</v>
      </c>
    </row>
    <row r="61" spans="1:6">
      <c r="A61" s="19" t="s">
        <v>107</v>
      </c>
      <c r="B61" s="20" t="s">
        <v>15</v>
      </c>
      <c r="C61" s="20" t="s">
        <v>21</v>
      </c>
      <c r="D61" s="20" t="s">
        <v>45</v>
      </c>
      <c r="E61" s="20">
        <v>2140</v>
      </c>
      <c r="F61" s="21">
        <v>45701</v>
      </c>
    </row>
    <row r="62" spans="1:6">
      <c r="A62" s="16" t="s">
        <v>108</v>
      </c>
      <c r="B62" s="17" t="s">
        <v>18</v>
      </c>
      <c r="C62" s="17" t="s">
        <v>9</v>
      </c>
      <c r="D62" s="17" t="s">
        <v>48</v>
      </c>
      <c r="E62" s="17">
        <v>4106</v>
      </c>
      <c r="F62" s="18">
        <v>45702</v>
      </c>
    </row>
    <row r="63" spans="1:6">
      <c r="A63" s="19" t="s">
        <v>109</v>
      </c>
      <c r="B63" s="20" t="s">
        <v>23</v>
      </c>
      <c r="C63" s="20" t="s">
        <v>12</v>
      </c>
      <c r="D63" s="20" t="s">
        <v>43</v>
      </c>
      <c r="E63" s="20">
        <v>1988</v>
      </c>
      <c r="F63" s="21">
        <v>45703</v>
      </c>
    </row>
    <row r="64" spans="1:6">
      <c r="A64" s="16" t="s">
        <v>110</v>
      </c>
      <c r="B64" s="17" t="s">
        <v>28</v>
      </c>
      <c r="C64" s="17" t="s">
        <v>9</v>
      </c>
      <c r="D64" s="17" t="s">
        <v>50</v>
      </c>
      <c r="E64" s="17">
        <v>2687</v>
      </c>
      <c r="F64" s="18">
        <v>45704</v>
      </c>
    </row>
    <row r="65" spans="1:6">
      <c r="A65" s="19" t="s">
        <v>111</v>
      </c>
      <c r="B65" s="20" t="s">
        <v>8</v>
      </c>
      <c r="C65" s="20" t="s">
        <v>16</v>
      </c>
      <c r="D65" s="20" t="s">
        <v>48</v>
      </c>
      <c r="E65" s="20">
        <v>3599</v>
      </c>
      <c r="F65" s="21">
        <v>45705</v>
      </c>
    </row>
    <row r="66" spans="1:6">
      <c r="A66" s="16" t="s">
        <v>112</v>
      </c>
      <c r="B66" s="17" t="s">
        <v>8</v>
      </c>
      <c r="C66" s="17" t="s">
        <v>19</v>
      </c>
      <c r="D66" s="17" t="s">
        <v>50</v>
      </c>
      <c r="E66" s="17">
        <v>2733</v>
      </c>
      <c r="F66" s="18">
        <v>45706</v>
      </c>
    </row>
    <row r="67" spans="1:6">
      <c r="A67" s="19" t="s">
        <v>113</v>
      </c>
      <c r="B67" s="20" t="s">
        <v>15</v>
      </c>
      <c r="C67" s="20" t="s">
        <v>21</v>
      </c>
      <c r="D67" s="20" t="s">
        <v>52</v>
      </c>
      <c r="E67" s="20">
        <v>2908</v>
      </c>
      <c r="F67" s="21">
        <v>45707</v>
      </c>
    </row>
    <row r="68" spans="1:6">
      <c r="A68" s="16" t="s">
        <v>114</v>
      </c>
      <c r="B68" s="17" t="s">
        <v>15</v>
      </c>
      <c r="C68" s="17" t="s">
        <v>12</v>
      </c>
      <c r="D68" s="17" t="s">
        <v>55</v>
      </c>
      <c r="E68" s="17">
        <v>4626</v>
      </c>
      <c r="F68" s="18">
        <v>45708</v>
      </c>
    </row>
    <row r="69" spans="1:6">
      <c r="A69" s="19" t="s">
        <v>115</v>
      </c>
      <c r="B69" s="20" t="s">
        <v>18</v>
      </c>
      <c r="C69" s="20" t="s">
        <v>24</v>
      </c>
      <c r="D69" s="20" t="s">
        <v>45</v>
      </c>
      <c r="E69" s="20">
        <v>4025</v>
      </c>
      <c r="F69" s="21">
        <v>45709</v>
      </c>
    </row>
    <row r="70" spans="1:6">
      <c r="A70" s="16" t="s">
        <v>116</v>
      </c>
      <c r="B70" s="17" t="s">
        <v>18</v>
      </c>
      <c r="C70" s="17" t="s">
        <v>26</v>
      </c>
      <c r="D70" s="17" t="s">
        <v>48</v>
      </c>
      <c r="E70" s="17">
        <v>3464</v>
      </c>
      <c r="F70" s="18">
        <v>45710</v>
      </c>
    </row>
    <row r="71" spans="1:6">
      <c r="A71" s="19" t="s">
        <v>117</v>
      </c>
      <c r="B71" s="20" t="s">
        <v>8</v>
      </c>
      <c r="C71" s="20" t="s">
        <v>29</v>
      </c>
      <c r="D71" s="20" t="s">
        <v>43</v>
      </c>
      <c r="E71" s="20">
        <v>996</v>
      </c>
      <c r="F71" s="21">
        <v>45711</v>
      </c>
    </row>
    <row r="72" spans="1:6">
      <c r="A72" s="16" t="s">
        <v>118</v>
      </c>
      <c r="B72" s="17" t="s">
        <v>23</v>
      </c>
      <c r="C72" s="17" t="s">
        <v>31</v>
      </c>
      <c r="D72" s="17" t="s">
        <v>43</v>
      </c>
      <c r="E72" s="17">
        <v>3782</v>
      </c>
      <c r="F72" s="18">
        <v>45712</v>
      </c>
    </row>
    <row r="73" spans="1:6">
      <c r="A73" s="19" t="s">
        <v>119</v>
      </c>
      <c r="B73" s="20" t="s">
        <v>23</v>
      </c>
      <c r="C73" s="20" t="s">
        <v>33</v>
      </c>
      <c r="D73" s="20" t="s">
        <v>45</v>
      </c>
      <c r="E73" s="20">
        <v>2340</v>
      </c>
      <c r="F73" s="21">
        <v>45713</v>
      </c>
    </row>
    <row r="74" spans="1:6">
      <c r="A74" s="16" t="s">
        <v>120</v>
      </c>
      <c r="B74" s="17" t="s">
        <v>28</v>
      </c>
      <c r="C74" s="17" t="s">
        <v>16</v>
      </c>
      <c r="D74" s="17" t="s">
        <v>43</v>
      </c>
      <c r="E74" s="17">
        <v>4576</v>
      </c>
      <c r="F74" s="18">
        <v>45714</v>
      </c>
    </row>
    <row r="75" spans="1:6">
      <c r="A75" s="19" t="s">
        <v>121</v>
      </c>
      <c r="B75" s="20" t="s">
        <v>28</v>
      </c>
      <c r="C75" s="20" t="s">
        <v>19</v>
      </c>
      <c r="D75" s="20" t="s">
        <v>48</v>
      </c>
      <c r="E75" s="20">
        <v>3683</v>
      </c>
      <c r="F75" s="21">
        <v>45715</v>
      </c>
    </row>
    <row r="76" spans="1:6">
      <c r="A76" s="16" t="s">
        <v>122</v>
      </c>
      <c r="B76" s="17" t="s">
        <v>8</v>
      </c>
      <c r="C76" s="17" t="s">
        <v>21</v>
      </c>
      <c r="D76" s="17" t="s">
        <v>50</v>
      </c>
      <c r="E76" s="17">
        <v>4638</v>
      </c>
      <c r="F76" s="18">
        <v>45716</v>
      </c>
    </row>
    <row r="77" spans="1:6">
      <c r="A77" s="19" t="s">
        <v>123</v>
      </c>
      <c r="B77" s="20" t="s">
        <v>15</v>
      </c>
      <c r="C77" s="20" t="s">
        <v>9</v>
      </c>
      <c r="D77" s="20" t="s">
        <v>52</v>
      </c>
      <c r="E77" s="20">
        <v>4969</v>
      </c>
      <c r="F77" s="21">
        <v>45717</v>
      </c>
    </row>
    <row r="78" spans="1:6">
      <c r="A78" s="16" t="s">
        <v>124</v>
      </c>
      <c r="B78" s="17" t="s">
        <v>18</v>
      </c>
      <c r="C78" s="17" t="s">
        <v>12</v>
      </c>
      <c r="D78" s="17" t="s">
        <v>45</v>
      </c>
      <c r="E78" s="17">
        <v>4285</v>
      </c>
      <c r="F78" s="18">
        <v>45718</v>
      </c>
    </row>
    <row r="79" spans="1:6">
      <c r="A79" s="19" t="s">
        <v>125</v>
      </c>
      <c r="B79" s="20" t="s">
        <v>23</v>
      </c>
      <c r="C79" s="20" t="s">
        <v>9</v>
      </c>
      <c r="D79" s="20" t="s">
        <v>55</v>
      </c>
      <c r="E79" s="20">
        <v>4130</v>
      </c>
      <c r="F79" s="21">
        <v>45719</v>
      </c>
    </row>
    <row r="80" spans="1:6">
      <c r="A80" s="16" t="s">
        <v>126</v>
      </c>
      <c r="B80" s="17" t="s">
        <v>28</v>
      </c>
      <c r="C80" s="17" t="s">
        <v>16</v>
      </c>
      <c r="D80" s="17" t="s">
        <v>45</v>
      </c>
      <c r="E80" s="17">
        <v>3593</v>
      </c>
      <c r="F80" s="18">
        <v>45720</v>
      </c>
    </row>
    <row r="81" spans="1:6">
      <c r="A81" s="19" t="s">
        <v>127</v>
      </c>
      <c r="B81" s="20" t="s">
        <v>8</v>
      </c>
      <c r="C81" s="20" t="s">
        <v>19</v>
      </c>
      <c r="D81" s="20" t="s">
        <v>48</v>
      </c>
      <c r="E81" s="20">
        <v>3763</v>
      </c>
      <c r="F81" s="21">
        <v>45721</v>
      </c>
    </row>
    <row r="82" spans="1:6">
      <c r="A82" s="16" t="s">
        <v>128</v>
      </c>
      <c r="B82" s="17" t="s">
        <v>15</v>
      </c>
      <c r="C82" s="17" t="s">
        <v>21</v>
      </c>
      <c r="D82" s="17" t="s">
        <v>43</v>
      </c>
      <c r="E82" s="17">
        <v>3181</v>
      </c>
      <c r="F82" s="18">
        <v>45722</v>
      </c>
    </row>
    <row r="83" spans="1:6">
      <c r="A83" s="19" t="s">
        <v>129</v>
      </c>
      <c r="B83" s="20" t="s">
        <v>18</v>
      </c>
      <c r="C83" s="20" t="s">
        <v>12</v>
      </c>
      <c r="D83" s="20" t="s">
        <v>43</v>
      </c>
      <c r="E83" s="20">
        <v>2078</v>
      </c>
      <c r="F83" s="21">
        <v>45723</v>
      </c>
    </row>
    <row r="84" spans="1:6">
      <c r="A84" s="16" t="s">
        <v>130</v>
      </c>
      <c r="B84" s="17" t="s">
        <v>23</v>
      </c>
      <c r="C84" s="17" t="s">
        <v>24</v>
      </c>
      <c r="D84" s="17" t="s">
        <v>45</v>
      </c>
      <c r="E84" s="17">
        <v>1600</v>
      </c>
      <c r="F84" s="18">
        <v>45724</v>
      </c>
    </row>
    <row r="85" spans="1:6">
      <c r="A85" s="19" t="s">
        <v>131</v>
      </c>
      <c r="B85" s="20" t="s">
        <v>28</v>
      </c>
      <c r="C85" s="20" t="s">
        <v>26</v>
      </c>
      <c r="D85" s="20" t="s">
        <v>43</v>
      </c>
      <c r="E85" s="20">
        <v>4522</v>
      </c>
      <c r="F85" s="21">
        <v>45725</v>
      </c>
    </row>
    <row r="86" spans="1:6">
      <c r="A86" s="16" t="s">
        <v>132</v>
      </c>
      <c r="B86" s="17" t="s">
        <v>8</v>
      </c>
      <c r="C86" s="17" t="s">
        <v>29</v>
      </c>
      <c r="D86" s="17" t="s">
        <v>48</v>
      </c>
      <c r="E86" s="17">
        <v>2857</v>
      </c>
      <c r="F86" s="18">
        <v>45726</v>
      </c>
    </row>
    <row r="87" spans="1:6">
      <c r="A87" s="19" t="s">
        <v>133</v>
      </c>
      <c r="B87" s="20" t="s">
        <v>8</v>
      </c>
      <c r="C87" s="20" t="s">
        <v>31</v>
      </c>
      <c r="D87" s="20" t="s">
        <v>50</v>
      </c>
      <c r="E87" s="20">
        <v>2817</v>
      </c>
      <c r="F87" s="21">
        <v>45727</v>
      </c>
    </row>
    <row r="88" spans="1:6">
      <c r="A88" s="16" t="s">
        <v>134</v>
      </c>
      <c r="B88" s="17" t="s">
        <v>15</v>
      </c>
      <c r="C88" s="17" t="s">
        <v>33</v>
      </c>
      <c r="D88" s="17" t="s">
        <v>52</v>
      </c>
      <c r="E88" s="17">
        <v>656</v>
      </c>
      <c r="F88" s="18">
        <v>45728</v>
      </c>
    </row>
    <row r="89" spans="1:6">
      <c r="A89" s="19" t="s">
        <v>135</v>
      </c>
      <c r="B89" s="20" t="s">
        <v>15</v>
      </c>
      <c r="C89" s="20" t="s">
        <v>16</v>
      </c>
      <c r="D89" s="20" t="s">
        <v>45</v>
      </c>
      <c r="E89" s="20">
        <v>1074</v>
      </c>
      <c r="F89" s="21">
        <v>45729</v>
      </c>
    </row>
    <row r="90" spans="1:6">
      <c r="A90" s="16" t="s">
        <v>136</v>
      </c>
      <c r="B90" s="17" t="s">
        <v>18</v>
      </c>
      <c r="C90" s="17" t="s">
        <v>19</v>
      </c>
      <c r="D90" s="17" t="s">
        <v>55</v>
      </c>
      <c r="E90" s="17">
        <v>4457</v>
      </c>
      <c r="F90" s="18">
        <v>45730</v>
      </c>
    </row>
    <row r="91" spans="1:6">
      <c r="A91" s="19" t="s">
        <v>137</v>
      </c>
      <c r="B91" s="20" t="s">
        <v>18</v>
      </c>
      <c r="C91" s="20" t="s">
        <v>21</v>
      </c>
      <c r="D91" s="20" t="s">
        <v>45</v>
      </c>
      <c r="E91" s="20">
        <v>750</v>
      </c>
      <c r="F91" s="21">
        <v>45731</v>
      </c>
    </row>
    <row r="92" spans="1:6">
      <c r="A92" s="16" t="s">
        <v>138</v>
      </c>
      <c r="B92" s="17" t="s">
        <v>8</v>
      </c>
      <c r="C92" s="17" t="s">
        <v>9</v>
      </c>
      <c r="D92" s="17" t="s">
        <v>48</v>
      </c>
      <c r="E92" s="17">
        <v>3718</v>
      </c>
      <c r="F92" s="18">
        <v>45732</v>
      </c>
    </row>
    <row r="93" spans="1:6">
      <c r="A93" s="19" t="s">
        <v>139</v>
      </c>
      <c r="B93" s="20" t="s">
        <v>23</v>
      </c>
      <c r="C93" s="20" t="s">
        <v>12</v>
      </c>
      <c r="D93" s="20" t="s">
        <v>43</v>
      </c>
      <c r="E93" s="20">
        <v>4260</v>
      </c>
      <c r="F93" s="21">
        <v>45733</v>
      </c>
    </row>
    <row r="94" spans="1:6">
      <c r="A94" s="16" t="s">
        <v>140</v>
      </c>
      <c r="B94" s="17" t="s">
        <v>23</v>
      </c>
      <c r="C94" s="17" t="s">
        <v>9</v>
      </c>
      <c r="D94" s="17" t="s">
        <v>50</v>
      </c>
      <c r="E94" s="17">
        <v>2945</v>
      </c>
      <c r="F94" s="18">
        <v>45734</v>
      </c>
    </row>
    <row r="95" spans="1:6">
      <c r="A95" s="19" t="s">
        <v>141</v>
      </c>
      <c r="B95" s="20" t="s">
        <v>28</v>
      </c>
      <c r="C95" s="20" t="s">
        <v>16</v>
      </c>
      <c r="D95" s="20" t="s">
        <v>48</v>
      </c>
      <c r="E95" s="20">
        <v>1714</v>
      </c>
      <c r="F95" s="21">
        <v>45735</v>
      </c>
    </row>
    <row r="96" spans="1:6">
      <c r="A96" s="16" t="s">
        <v>142</v>
      </c>
      <c r="B96" s="17" t="s">
        <v>28</v>
      </c>
      <c r="C96" s="17" t="s">
        <v>19</v>
      </c>
      <c r="D96" s="17" t="s">
        <v>50</v>
      </c>
      <c r="E96" s="17">
        <v>2965</v>
      </c>
      <c r="F96" s="18">
        <v>45736</v>
      </c>
    </row>
    <row r="97" spans="1:6">
      <c r="A97" s="19" t="s">
        <v>143</v>
      </c>
      <c r="B97" s="20" t="s">
        <v>8</v>
      </c>
      <c r="C97" s="20" t="s">
        <v>21</v>
      </c>
      <c r="D97" s="20" t="s">
        <v>52</v>
      </c>
      <c r="E97" s="20">
        <v>2533</v>
      </c>
      <c r="F97" s="21">
        <v>45737</v>
      </c>
    </row>
    <row r="98" spans="1:6">
      <c r="A98" s="16" t="s">
        <v>144</v>
      </c>
      <c r="B98" s="17" t="s">
        <v>15</v>
      </c>
      <c r="C98" s="17" t="s">
        <v>12</v>
      </c>
      <c r="D98" s="17" t="s">
        <v>55</v>
      </c>
      <c r="E98" s="17">
        <v>4435</v>
      </c>
      <c r="F98" s="18">
        <v>45738</v>
      </c>
    </row>
    <row r="99" spans="1:6">
      <c r="A99" s="19" t="s">
        <v>145</v>
      </c>
      <c r="B99" s="20" t="s">
        <v>18</v>
      </c>
      <c r="C99" s="20" t="s">
        <v>24</v>
      </c>
      <c r="D99" s="20" t="s">
        <v>45</v>
      </c>
      <c r="E99" s="20">
        <v>2091</v>
      </c>
      <c r="F99" s="21">
        <v>45739</v>
      </c>
    </row>
    <row r="100" spans="1:6">
      <c r="A100" s="16" t="s">
        <v>146</v>
      </c>
      <c r="B100" s="17" t="s">
        <v>23</v>
      </c>
      <c r="C100" s="17" t="s">
        <v>26</v>
      </c>
      <c r="D100" s="17" t="s">
        <v>48</v>
      </c>
      <c r="E100" s="17">
        <v>2962</v>
      </c>
      <c r="F100" s="18">
        <v>45740</v>
      </c>
    </row>
    <row r="101" spans="1:6">
      <c r="A101" s="19" t="s">
        <v>147</v>
      </c>
      <c r="B101" s="20" t="s">
        <v>28</v>
      </c>
      <c r="C101" s="20" t="s">
        <v>29</v>
      </c>
      <c r="D101" s="20" t="s">
        <v>43</v>
      </c>
      <c r="E101" s="20">
        <v>4000</v>
      </c>
      <c r="F101" s="21">
        <v>45741</v>
      </c>
    </row>
    <row r="102" spans="1:6">
      <c r="A102" s="16" t="s">
        <v>148</v>
      </c>
      <c r="B102" s="17" t="s">
        <v>8</v>
      </c>
      <c r="C102" s="17" t="s">
        <v>31</v>
      </c>
      <c r="D102" s="17" t="s">
        <v>43</v>
      </c>
      <c r="E102" s="17">
        <v>1987</v>
      </c>
      <c r="F102" s="18">
        <v>45742</v>
      </c>
    </row>
    <row r="103" spans="1:6">
      <c r="A103" s="19" t="s">
        <v>149</v>
      </c>
      <c r="B103" s="20" t="s">
        <v>15</v>
      </c>
      <c r="C103" s="20" t="s">
        <v>33</v>
      </c>
      <c r="D103" s="20" t="s">
        <v>45</v>
      </c>
      <c r="E103" s="20">
        <v>3670</v>
      </c>
      <c r="F103" s="21">
        <v>45743</v>
      </c>
    </row>
    <row r="104" spans="1:6">
      <c r="A104" s="16" t="s">
        <v>150</v>
      </c>
      <c r="B104" s="17" t="s">
        <v>18</v>
      </c>
      <c r="C104" s="17" t="s">
        <v>16</v>
      </c>
      <c r="D104" s="17" t="s">
        <v>43</v>
      </c>
      <c r="E104" s="17">
        <v>4773</v>
      </c>
      <c r="F104" s="18">
        <v>45744</v>
      </c>
    </row>
    <row r="105" spans="1:6">
      <c r="A105" s="19" t="s">
        <v>151</v>
      </c>
      <c r="B105" s="20" t="s">
        <v>23</v>
      </c>
      <c r="C105" s="20" t="s">
        <v>19</v>
      </c>
      <c r="D105" s="20" t="s">
        <v>45</v>
      </c>
      <c r="E105" s="20">
        <v>4982</v>
      </c>
      <c r="F105" s="21">
        <v>45745</v>
      </c>
    </row>
    <row r="106" spans="1:6">
      <c r="A106" s="16" t="s">
        <v>152</v>
      </c>
      <c r="B106" s="17" t="s">
        <v>28</v>
      </c>
      <c r="C106" s="17" t="s">
        <v>21</v>
      </c>
      <c r="D106" s="17" t="s">
        <v>43</v>
      </c>
      <c r="E106" s="17">
        <v>655</v>
      </c>
      <c r="F106" s="18">
        <v>45746</v>
      </c>
    </row>
    <row r="107" spans="1:6">
      <c r="A107" s="19" t="s">
        <v>153</v>
      </c>
      <c r="B107" s="20" t="s">
        <v>8</v>
      </c>
      <c r="C107" s="20" t="s">
        <v>9</v>
      </c>
      <c r="D107" s="20" t="s">
        <v>48</v>
      </c>
      <c r="E107" s="20">
        <v>695</v>
      </c>
      <c r="F107" s="21">
        <v>45747</v>
      </c>
    </row>
    <row r="108" spans="1:6">
      <c r="A108" s="16" t="s">
        <v>154</v>
      </c>
      <c r="B108" s="17" t="s">
        <v>8</v>
      </c>
      <c r="C108" s="17" t="s">
        <v>12</v>
      </c>
      <c r="D108" s="17" t="s">
        <v>50</v>
      </c>
      <c r="E108" s="17">
        <v>2357</v>
      </c>
      <c r="F108" s="18">
        <v>45748</v>
      </c>
    </row>
    <row r="109" spans="1:6">
      <c r="A109" s="19" t="s">
        <v>155</v>
      </c>
      <c r="B109" s="20" t="s">
        <v>15</v>
      </c>
      <c r="C109" s="20" t="s">
        <v>9</v>
      </c>
      <c r="D109" s="20" t="s">
        <v>52</v>
      </c>
      <c r="E109" s="20">
        <v>3566</v>
      </c>
      <c r="F109" s="21">
        <v>45749</v>
      </c>
    </row>
    <row r="110" spans="1:6">
      <c r="A110" s="16" t="s">
        <v>156</v>
      </c>
      <c r="B110" s="17" t="s">
        <v>15</v>
      </c>
      <c r="C110" s="17" t="s">
        <v>16</v>
      </c>
      <c r="D110" s="17" t="s">
        <v>45</v>
      </c>
      <c r="E110" s="17">
        <v>3850</v>
      </c>
      <c r="F110" s="18">
        <v>45750</v>
      </c>
    </row>
    <row r="111" spans="1:6">
      <c r="A111" s="19" t="s">
        <v>157</v>
      </c>
      <c r="B111" s="20" t="s">
        <v>18</v>
      </c>
      <c r="C111" s="20" t="s">
        <v>19</v>
      </c>
      <c r="D111" s="20" t="s">
        <v>55</v>
      </c>
      <c r="E111" s="20">
        <v>3500</v>
      </c>
      <c r="F111" s="21">
        <v>45751</v>
      </c>
    </row>
    <row r="112" spans="1:6">
      <c r="A112" s="16" t="s">
        <v>158</v>
      </c>
      <c r="B112" s="17" t="s">
        <v>18</v>
      </c>
      <c r="C112" s="17" t="s">
        <v>21</v>
      </c>
      <c r="D112" s="17" t="s">
        <v>45</v>
      </c>
      <c r="E112" s="17">
        <v>2255</v>
      </c>
      <c r="F112" s="18">
        <v>45752</v>
      </c>
    </row>
    <row r="113" spans="1:6">
      <c r="A113" s="19" t="s">
        <v>159</v>
      </c>
      <c r="B113" s="20" t="s">
        <v>8</v>
      </c>
      <c r="C113" s="20" t="s">
        <v>12</v>
      </c>
      <c r="D113" s="20" t="s">
        <v>48</v>
      </c>
      <c r="E113" s="20">
        <v>761</v>
      </c>
      <c r="F113" s="21">
        <v>45753</v>
      </c>
    </row>
    <row r="114" spans="1:6">
      <c r="A114" s="16" t="s">
        <v>160</v>
      </c>
      <c r="B114" s="17" t="s">
        <v>23</v>
      </c>
      <c r="C114" s="17" t="s">
        <v>24</v>
      </c>
      <c r="D114" s="17" t="s">
        <v>43</v>
      </c>
      <c r="E114" s="17">
        <v>3087</v>
      </c>
      <c r="F114" s="18">
        <v>45754</v>
      </c>
    </row>
    <row r="115" spans="1:6">
      <c r="A115" s="19" t="s">
        <v>161</v>
      </c>
      <c r="B115" s="20" t="s">
        <v>23</v>
      </c>
      <c r="C115" s="20" t="s">
        <v>26</v>
      </c>
      <c r="D115" s="20" t="s">
        <v>50</v>
      </c>
      <c r="E115" s="20">
        <v>2493</v>
      </c>
      <c r="F115" s="21">
        <v>45755</v>
      </c>
    </row>
    <row r="116" spans="1:6">
      <c r="A116" s="16" t="s">
        <v>162</v>
      </c>
      <c r="B116" s="17" t="s">
        <v>28</v>
      </c>
      <c r="C116" s="17" t="s">
        <v>29</v>
      </c>
      <c r="D116" s="17" t="s">
        <v>48</v>
      </c>
      <c r="E116" s="17">
        <v>3096</v>
      </c>
      <c r="F116" s="18">
        <v>45756</v>
      </c>
    </row>
    <row r="117" spans="1:6">
      <c r="A117" s="19" t="s">
        <v>163</v>
      </c>
      <c r="B117" s="20" t="s">
        <v>28</v>
      </c>
      <c r="C117" s="20" t="s">
        <v>31</v>
      </c>
      <c r="D117" s="20" t="s">
        <v>50</v>
      </c>
      <c r="E117" s="20">
        <v>2600</v>
      </c>
      <c r="F117" s="21">
        <v>45757</v>
      </c>
    </row>
    <row r="118" spans="1:6">
      <c r="A118" s="16" t="s">
        <v>164</v>
      </c>
      <c r="B118" s="17" t="s">
        <v>8</v>
      </c>
      <c r="C118" s="17" t="s">
        <v>33</v>
      </c>
      <c r="D118" s="17" t="s">
        <v>52</v>
      </c>
      <c r="E118" s="17">
        <v>1905</v>
      </c>
      <c r="F118" s="18">
        <v>45758</v>
      </c>
    </row>
    <row r="119" spans="1:6">
      <c r="A119" s="19" t="s">
        <v>165</v>
      </c>
      <c r="B119" s="20" t="s">
        <v>15</v>
      </c>
      <c r="C119" s="20" t="s">
        <v>16</v>
      </c>
      <c r="D119" s="20" t="s">
        <v>55</v>
      </c>
      <c r="E119" s="20">
        <v>4904</v>
      </c>
      <c r="F119" s="21">
        <v>45759</v>
      </c>
    </row>
    <row r="120" spans="1:6">
      <c r="A120" s="16" t="s">
        <v>166</v>
      </c>
      <c r="B120" s="17" t="s">
        <v>18</v>
      </c>
      <c r="C120" s="17" t="s">
        <v>19</v>
      </c>
      <c r="D120" s="17" t="s">
        <v>45</v>
      </c>
      <c r="E120" s="17">
        <v>1763</v>
      </c>
      <c r="F120" s="18">
        <v>45760</v>
      </c>
    </row>
    <row r="121" spans="1:6">
      <c r="A121" s="19" t="s">
        <v>167</v>
      </c>
      <c r="B121" s="20" t="s">
        <v>23</v>
      </c>
      <c r="C121" s="20" t="s">
        <v>21</v>
      </c>
      <c r="D121" s="20" t="s">
        <v>48</v>
      </c>
      <c r="E121" s="20">
        <v>902</v>
      </c>
      <c r="F121" s="21">
        <v>45761</v>
      </c>
    </row>
    <row r="122" spans="1:6">
      <c r="A122" s="16" t="s">
        <v>168</v>
      </c>
      <c r="B122" s="17" t="s">
        <v>28</v>
      </c>
      <c r="C122" s="17" t="s">
        <v>9</v>
      </c>
      <c r="D122" s="17" t="s">
        <v>43</v>
      </c>
      <c r="E122" s="17">
        <v>680</v>
      </c>
      <c r="F122" s="18">
        <v>45762</v>
      </c>
    </row>
    <row r="123" spans="1:6">
      <c r="A123" s="19" t="s">
        <v>169</v>
      </c>
      <c r="B123" s="20" t="s">
        <v>8</v>
      </c>
      <c r="C123" s="20" t="s">
        <v>12</v>
      </c>
      <c r="D123" s="20" t="s">
        <v>43</v>
      </c>
      <c r="E123" s="20">
        <v>3306</v>
      </c>
      <c r="F123" s="21">
        <v>45763</v>
      </c>
    </row>
    <row r="124" spans="1:6">
      <c r="A124" s="16" t="s">
        <v>170</v>
      </c>
      <c r="B124" s="17" t="s">
        <v>15</v>
      </c>
      <c r="C124" s="17" t="s">
        <v>9</v>
      </c>
      <c r="D124" s="17" t="s">
        <v>45</v>
      </c>
      <c r="E124" s="17">
        <v>2857</v>
      </c>
      <c r="F124" s="18">
        <v>45764</v>
      </c>
    </row>
    <row r="125" spans="1:6">
      <c r="A125" s="19" t="s">
        <v>171</v>
      </c>
      <c r="B125" s="20" t="s">
        <v>18</v>
      </c>
      <c r="C125" s="20" t="s">
        <v>16</v>
      </c>
      <c r="D125" s="20" t="s">
        <v>43</v>
      </c>
      <c r="E125" s="20">
        <v>2058</v>
      </c>
      <c r="F125" s="21">
        <v>45765</v>
      </c>
    </row>
    <row r="126" spans="1:6">
      <c r="A126" s="16" t="s">
        <v>172</v>
      </c>
      <c r="B126" s="17" t="s">
        <v>23</v>
      </c>
      <c r="C126" s="17" t="s">
        <v>19</v>
      </c>
      <c r="D126" s="17" t="s">
        <v>48</v>
      </c>
      <c r="E126" s="17">
        <v>4062</v>
      </c>
      <c r="F126" s="18">
        <v>45766</v>
      </c>
    </row>
    <row r="127" spans="1:6">
      <c r="A127" s="19" t="s">
        <v>173</v>
      </c>
      <c r="B127" s="20" t="s">
        <v>28</v>
      </c>
      <c r="C127" s="20" t="s">
        <v>21</v>
      </c>
      <c r="D127" s="20" t="s">
        <v>50</v>
      </c>
      <c r="E127" s="20">
        <v>1756</v>
      </c>
      <c r="F127" s="21">
        <v>45767</v>
      </c>
    </row>
    <row r="128" spans="1:6">
      <c r="A128" s="16" t="s">
        <v>174</v>
      </c>
      <c r="B128" s="17" t="s">
        <v>8</v>
      </c>
      <c r="C128" s="17" t="s">
        <v>12</v>
      </c>
      <c r="D128" s="17" t="s">
        <v>52</v>
      </c>
      <c r="E128" s="17">
        <v>4677</v>
      </c>
      <c r="F128" s="18">
        <v>45768</v>
      </c>
    </row>
    <row r="129" spans="1:6">
      <c r="A129" s="19" t="s">
        <v>175</v>
      </c>
      <c r="B129" s="20" t="s">
        <v>8</v>
      </c>
      <c r="C129" s="20" t="s">
        <v>24</v>
      </c>
      <c r="D129" s="20" t="s">
        <v>45</v>
      </c>
      <c r="E129" s="20">
        <v>2712</v>
      </c>
      <c r="F129" s="21">
        <v>45769</v>
      </c>
    </row>
    <row r="130" spans="1:6">
      <c r="A130" s="16" t="s">
        <v>176</v>
      </c>
      <c r="B130" s="17" t="s">
        <v>15</v>
      </c>
      <c r="C130" s="17" t="s">
        <v>26</v>
      </c>
      <c r="D130" s="17" t="s">
        <v>55</v>
      </c>
      <c r="E130" s="17">
        <v>4433</v>
      </c>
      <c r="F130" s="18">
        <v>45770</v>
      </c>
    </row>
    <row r="131" spans="1:6">
      <c r="A131" s="19" t="s">
        <v>177</v>
      </c>
      <c r="B131" s="20" t="s">
        <v>15</v>
      </c>
      <c r="C131" s="20" t="s">
        <v>29</v>
      </c>
      <c r="D131" s="20" t="s">
        <v>45</v>
      </c>
      <c r="E131" s="20">
        <v>4663</v>
      </c>
      <c r="F131" s="21">
        <v>45771</v>
      </c>
    </row>
    <row r="132" spans="1:6">
      <c r="A132" s="16" t="s">
        <v>178</v>
      </c>
      <c r="B132" s="17" t="s">
        <v>18</v>
      </c>
      <c r="C132" s="17" t="s">
        <v>31</v>
      </c>
      <c r="D132" s="17" t="s">
        <v>48</v>
      </c>
      <c r="E132" s="17">
        <v>1619</v>
      </c>
      <c r="F132" s="18">
        <v>45772</v>
      </c>
    </row>
    <row r="133" spans="1:6">
      <c r="A133" s="19" t="s">
        <v>179</v>
      </c>
      <c r="B133" s="20" t="s">
        <v>18</v>
      </c>
      <c r="C133" s="20" t="s">
        <v>33</v>
      </c>
      <c r="D133" s="20" t="s">
        <v>43</v>
      </c>
      <c r="E133" s="20">
        <v>945</v>
      </c>
      <c r="F133" s="21">
        <v>45773</v>
      </c>
    </row>
    <row r="134" spans="1:6">
      <c r="A134" s="16" t="s">
        <v>180</v>
      </c>
      <c r="B134" s="17" t="s">
        <v>8</v>
      </c>
      <c r="C134" s="17" t="s">
        <v>16</v>
      </c>
      <c r="D134" s="17" t="s">
        <v>43</v>
      </c>
      <c r="E134" s="17">
        <v>2887</v>
      </c>
      <c r="F134" s="18">
        <v>45774</v>
      </c>
    </row>
    <row r="135" spans="1:6">
      <c r="A135" s="19" t="s">
        <v>181</v>
      </c>
      <c r="B135" s="20" t="s">
        <v>23</v>
      </c>
      <c r="C135" s="20" t="s">
        <v>19</v>
      </c>
      <c r="D135" s="20" t="s">
        <v>45</v>
      </c>
      <c r="E135" s="20">
        <v>2453</v>
      </c>
      <c r="F135" s="21">
        <v>45775</v>
      </c>
    </row>
    <row r="136" spans="1:6">
      <c r="A136" s="16" t="s">
        <v>182</v>
      </c>
      <c r="B136" s="17" t="s">
        <v>23</v>
      </c>
      <c r="C136" s="17" t="s">
        <v>21</v>
      </c>
      <c r="D136" s="17" t="s">
        <v>43</v>
      </c>
      <c r="E136" s="17">
        <v>2563</v>
      </c>
      <c r="F136" s="18">
        <v>45776</v>
      </c>
    </row>
    <row r="137" spans="1:6">
      <c r="A137" s="19" t="s">
        <v>183</v>
      </c>
      <c r="B137" s="20" t="s">
        <v>28</v>
      </c>
      <c r="C137" s="20" t="s">
        <v>9</v>
      </c>
      <c r="D137" s="20" t="s">
        <v>48</v>
      </c>
      <c r="E137" s="20">
        <v>4696</v>
      </c>
      <c r="F137" s="21">
        <v>45777</v>
      </c>
    </row>
    <row r="138" spans="1:6">
      <c r="A138" s="16" t="s">
        <v>184</v>
      </c>
      <c r="B138" s="17" t="s">
        <v>28</v>
      </c>
      <c r="C138" s="17" t="s">
        <v>12</v>
      </c>
      <c r="D138" s="17" t="s">
        <v>50</v>
      </c>
      <c r="E138" s="17">
        <v>1503</v>
      </c>
      <c r="F138" s="18">
        <v>45778</v>
      </c>
    </row>
    <row r="139" spans="1:6">
      <c r="A139" s="19" t="s">
        <v>185</v>
      </c>
      <c r="B139" s="20" t="s">
        <v>8</v>
      </c>
      <c r="C139" s="20" t="s">
        <v>9</v>
      </c>
      <c r="D139" s="20" t="s">
        <v>52</v>
      </c>
      <c r="E139" s="20">
        <v>4280</v>
      </c>
      <c r="F139" s="21">
        <v>45779</v>
      </c>
    </row>
    <row r="140" spans="1:6">
      <c r="A140" s="16" t="s">
        <v>186</v>
      </c>
      <c r="B140" s="17" t="s">
        <v>15</v>
      </c>
      <c r="C140" s="17" t="s">
        <v>16</v>
      </c>
      <c r="D140" s="17" t="s">
        <v>45</v>
      </c>
      <c r="E140" s="17">
        <v>4136</v>
      </c>
      <c r="F140" s="18">
        <v>45780</v>
      </c>
    </row>
    <row r="141" spans="1:6">
      <c r="A141" s="19" t="s">
        <v>187</v>
      </c>
      <c r="B141" s="20" t="s">
        <v>18</v>
      </c>
      <c r="C141" s="20" t="s">
        <v>19</v>
      </c>
      <c r="D141" s="20" t="s">
        <v>55</v>
      </c>
      <c r="E141" s="20">
        <v>2075</v>
      </c>
      <c r="F141" s="21">
        <v>45781</v>
      </c>
    </row>
    <row r="142" spans="1:6">
      <c r="A142" s="16" t="s">
        <v>188</v>
      </c>
      <c r="B142" s="17" t="s">
        <v>23</v>
      </c>
      <c r="C142" s="17" t="s">
        <v>21</v>
      </c>
      <c r="D142" s="17" t="s">
        <v>45</v>
      </c>
      <c r="E142" s="17">
        <v>4914</v>
      </c>
      <c r="F142" s="18">
        <v>45782</v>
      </c>
    </row>
    <row r="143" spans="1:6">
      <c r="A143" s="19" t="s">
        <v>189</v>
      </c>
      <c r="B143" s="20" t="s">
        <v>28</v>
      </c>
      <c r="C143" s="20" t="s">
        <v>12</v>
      </c>
      <c r="D143" s="20" t="s">
        <v>48</v>
      </c>
      <c r="E143" s="20">
        <v>1410</v>
      </c>
      <c r="F143" s="21">
        <v>45783</v>
      </c>
    </row>
    <row r="144" spans="1:6">
      <c r="A144" s="16" t="s">
        <v>190</v>
      </c>
      <c r="B144" s="17" t="s">
        <v>8</v>
      </c>
      <c r="C144" s="17" t="s">
        <v>24</v>
      </c>
      <c r="D144" s="17" t="s">
        <v>43</v>
      </c>
      <c r="E144" s="17">
        <v>4221</v>
      </c>
      <c r="F144" s="18">
        <v>45784</v>
      </c>
    </row>
    <row r="145" spans="1:6">
      <c r="A145" s="19" t="s">
        <v>191</v>
      </c>
      <c r="B145" s="20" t="s">
        <v>15</v>
      </c>
      <c r="C145" s="20" t="s">
        <v>26</v>
      </c>
      <c r="D145" s="20" t="s">
        <v>50</v>
      </c>
      <c r="E145" s="20">
        <v>1580</v>
      </c>
      <c r="F145" s="21">
        <v>45785</v>
      </c>
    </row>
    <row r="146" spans="1:6">
      <c r="A146" s="16" t="s">
        <v>192</v>
      </c>
      <c r="B146" s="17" t="s">
        <v>18</v>
      </c>
      <c r="C146" s="17" t="s">
        <v>29</v>
      </c>
      <c r="D146" s="17" t="s">
        <v>48</v>
      </c>
      <c r="E146" s="17">
        <v>876</v>
      </c>
      <c r="F146" s="18">
        <v>45786</v>
      </c>
    </row>
    <row r="147" spans="1:6">
      <c r="A147" s="19" t="s">
        <v>193</v>
      </c>
      <c r="B147" s="20" t="s">
        <v>23</v>
      </c>
      <c r="C147" s="20" t="s">
        <v>31</v>
      </c>
      <c r="D147" s="20" t="s">
        <v>50</v>
      </c>
      <c r="E147" s="20">
        <v>1052</v>
      </c>
      <c r="F147" s="21">
        <v>45787</v>
      </c>
    </row>
    <row r="148" spans="1:6">
      <c r="A148" s="16" t="s">
        <v>194</v>
      </c>
      <c r="B148" s="17" t="s">
        <v>28</v>
      </c>
      <c r="C148" s="17" t="s">
        <v>33</v>
      </c>
      <c r="D148" s="17" t="s">
        <v>52</v>
      </c>
      <c r="E148" s="17">
        <v>4640</v>
      </c>
      <c r="F148" s="18">
        <v>45788</v>
      </c>
    </row>
    <row r="149" spans="1:6">
      <c r="A149" s="19" t="s">
        <v>195</v>
      </c>
      <c r="B149" s="20" t="s">
        <v>8</v>
      </c>
      <c r="C149" s="20" t="s">
        <v>16</v>
      </c>
      <c r="D149" s="20" t="s">
        <v>55</v>
      </c>
      <c r="E149" s="20">
        <v>2090</v>
      </c>
      <c r="F149" s="21">
        <v>45789</v>
      </c>
    </row>
    <row r="150" spans="1:6">
      <c r="A150" s="16" t="s">
        <v>196</v>
      </c>
      <c r="B150" s="17" t="s">
        <v>8</v>
      </c>
      <c r="C150" s="17" t="s">
        <v>19</v>
      </c>
      <c r="D150" s="17" t="s">
        <v>45</v>
      </c>
      <c r="E150" s="17">
        <v>894</v>
      </c>
      <c r="F150" s="18">
        <v>45790</v>
      </c>
    </row>
    <row r="151" spans="1:6">
      <c r="A151" s="19" t="s">
        <v>197</v>
      </c>
      <c r="B151" s="20" t="s">
        <v>15</v>
      </c>
      <c r="C151" s="20" t="s">
        <v>21</v>
      </c>
      <c r="D151" s="20" t="s">
        <v>48</v>
      </c>
      <c r="E151" s="20">
        <v>3582</v>
      </c>
      <c r="F151" s="21">
        <v>45791</v>
      </c>
    </row>
    <row r="152" spans="1:6">
      <c r="A152" s="16" t="s">
        <v>198</v>
      </c>
      <c r="B152" s="17" t="s">
        <v>15</v>
      </c>
      <c r="C152" s="17" t="s">
        <v>9</v>
      </c>
      <c r="D152" s="17" t="s">
        <v>43</v>
      </c>
      <c r="E152" s="17">
        <v>1258</v>
      </c>
      <c r="F152" s="18">
        <v>45792</v>
      </c>
    </row>
    <row r="153" spans="1:6">
      <c r="A153" s="19" t="s">
        <v>199</v>
      </c>
      <c r="B153" s="20" t="s">
        <v>18</v>
      </c>
      <c r="C153" s="20" t="s">
        <v>12</v>
      </c>
      <c r="D153" s="20" t="s">
        <v>43</v>
      </c>
      <c r="E153" s="20">
        <v>3485</v>
      </c>
      <c r="F153" s="21">
        <v>45793</v>
      </c>
    </row>
    <row r="154" spans="1:6">
      <c r="A154" s="16" t="s">
        <v>200</v>
      </c>
      <c r="B154" s="17" t="s">
        <v>18</v>
      </c>
      <c r="C154" s="17" t="s">
        <v>9</v>
      </c>
      <c r="D154" s="17" t="s">
        <v>45</v>
      </c>
      <c r="E154" s="17">
        <v>1559</v>
      </c>
      <c r="F154" s="18">
        <v>45794</v>
      </c>
    </row>
    <row r="155" spans="1:6">
      <c r="A155" s="19" t="s">
        <v>201</v>
      </c>
      <c r="B155" s="20" t="s">
        <v>8</v>
      </c>
      <c r="C155" s="20" t="s">
        <v>16</v>
      </c>
      <c r="D155" s="20" t="s">
        <v>43</v>
      </c>
      <c r="E155" s="20">
        <v>2180</v>
      </c>
      <c r="F155" s="21">
        <v>45795</v>
      </c>
    </row>
    <row r="156" spans="1:6">
      <c r="A156" s="16" t="s">
        <v>202</v>
      </c>
      <c r="B156" s="17" t="s">
        <v>23</v>
      </c>
      <c r="C156" s="17" t="s">
        <v>19</v>
      </c>
      <c r="D156" s="17" t="s">
        <v>45</v>
      </c>
      <c r="E156" s="17">
        <v>1463</v>
      </c>
      <c r="F156" s="18">
        <v>45796</v>
      </c>
    </row>
    <row r="157" spans="1:6">
      <c r="A157" s="19" t="s">
        <v>203</v>
      </c>
      <c r="B157" s="20" t="s">
        <v>23</v>
      </c>
      <c r="C157" s="20" t="s">
        <v>21</v>
      </c>
      <c r="D157" s="20" t="s">
        <v>43</v>
      </c>
      <c r="E157" s="20">
        <v>2902</v>
      </c>
      <c r="F157" s="21">
        <v>45797</v>
      </c>
    </row>
    <row r="158" spans="1:6">
      <c r="A158" s="16" t="s">
        <v>204</v>
      </c>
      <c r="B158" s="17" t="s">
        <v>28</v>
      </c>
      <c r="C158" s="17" t="s">
        <v>12</v>
      </c>
      <c r="D158" s="17" t="s">
        <v>48</v>
      </c>
      <c r="E158" s="17">
        <v>1420</v>
      </c>
      <c r="F158" s="18">
        <v>45798</v>
      </c>
    </row>
    <row r="159" spans="1:6">
      <c r="A159" s="19" t="s">
        <v>205</v>
      </c>
      <c r="B159" s="20" t="s">
        <v>28</v>
      </c>
      <c r="C159" s="20" t="s">
        <v>24</v>
      </c>
      <c r="D159" s="20" t="s">
        <v>50</v>
      </c>
      <c r="E159" s="20">
        <v>4172</v>
      </c>
      <c r="F159" s="21">
        <v>45799</v>
      </c>
    </row>
    <row r="160" spans="1:6">
      <c r="A160" s="16" t="s">
        <v>206</v>
      </c>
      <c r="B160" s="17" t="s">
        <v>8</v>
      </c>
      <c r="C160" s="17" t="s">
        <v>26</v>
      </c>
      <c r="D160" s="17" t="s">
        <v>52</v>
      </c>
      <c r="E160" s="17">
        <v>4661</v>
      </c>
      <c r="F160" s="18">
        <v>45800</v>
      </c>
    </row>
    <row r="161" spans="1:6">
      <c r="A161" s="19" t="s">
        <v>207</v>
      </c>
      <c r="B161" s="20" t="s">
        <v>15</v>
      </c>
      <c r="C161" s="20" t="s">
        <v>29</v>
      </c>
      <c r="D161" s="20" t="s">
        <v>45</v>
      </c>
      <c r="E161" s="20">
        <v>2968</v>
      </c>
      <c r="F161" s="21">
        <v>45801</v>
      </c>
    </row>
    <row r="162" spans="1:6">
      <c r="A162" s="16" t="s">
        <v>208</v>
      </c>
      <c r="B162" s="17" t="s">
        <v>18</v>
      </c>
      <c r="C162" s="17" t="s">
        <v>31</v>
      </c>
      <c r="D162" s="17" t="s">
        <v>55</v>
      </c>
      <c r="E162" s="17">
        <v>3785</v>
      </c>
      <c r="F162" s="18">
        <v>45802</v>
      </c>
    </row>
    <row r="163" spans="1:6">
      <c r="A163" s="19" t="s">
        <v>209</v>
      </c>
      <c r="B163" s="20" t="s">
        <v>23</v>
      </c>
      <c r="C163" s="20" t="s">
        <v>33</v>
      </c>
      <c r="D163" s="20" t="s">
        <v>45</v>
      </c>
      <c r="E163" s="20">
        <v>2357</v>
      </c>
      <c r="F163" s="21">
        <v>45803</v>
      </c>
    </row>
    <row r="164" spans="1:6">
      <c r="A164" s="16" t="s">
        <v>210</v>
      </c>
      <c r="B164" s="17" t="s">
        <v>28</v>
      </c>
      <c r="C164" s="17" t="s">
        <v>16</v>
      </c>
      <c r="D164" s="17" t="s">
        <v>48</v>
      </c>
      <c r="E164" s="17">
        <v>4995</v>
      </c>
      <c r="F164" s="18">
        <v>45804</v>
      </c>
    </row>
    <row r="165" spans="1:6">
      <c r="A165" s="19" t="s">
        <v>211</v>
      </c>
      <c r="B165" s="20" t="s">
        <v>8</v>
      </c>
      <c r="C165" s="20" t="s">
        <v>19</v>
      </c>
      <c r="D165" s="20" t="s">
        <v>43</v>
      </c>
      <c r="E165" s="20">
        <v>1383</v>
      </c>
      <c r="F165" s="21">
        <v>45805</v>
      </c>
    </row>
    <row r="166" spans="1:6">
      <c r="A166" s="16" t="s">
        <v>212</v>
      </c>
      <c r="B166" s="17" t="s">
        <v>15</v>
      </c>
      <c r="C166" s="17" t="s">
        <v>21</v>
      </c>
      <c r="D166" s="17" t="s">
        <v>50</v>
      </c>
      <c r="E166" s="17">
        <v>800</v>
      </c>
      <c r="F166" s="18">
        <v>45806</v>
      </c>
    </row>
    <row r="167" spans="1:6">
      <c r="A167" s="19" t="s">
        <v>213</v>
      </c>
      <c r="B167" s="20" t="s">
        <v>18</v>
      </c>
      <c r="C167" s="20" t="s">
        <v>9</v>
      </c>
      <c r="D167" s="20" t="s">
        <v>48</v>
      </c>
      <c r="E167" s="20">
        <v>1966</v>
      </c>
      <c r="F167" s="21">
        <v>45807</v>
      </c>
    </row>
    <row r="168" spans="1:6">
      <c r="A168" s="16" t="s">
        <v>214</v>
      </c>
      <c r="B168" s="17" t="s">
        <v>23</v>
      </c>
      <c r="C168" s="17" t="s">
        <v>12</v>
      </c>
      <c r="D168" s="17" t="s">
        <v>50</v>
      </c>
      <c r="E168" s="17">
        <v>3933</v>
      </c>
      <c r="F168" s="18">
        <v>45808</v>
      </c>
    </row>
    <row r="169" spans="1:6">
      <c r="A169" s="19" t="s">
        <v>215</v>
      </c>
      <c r="B169" s="20" t="s">
        <v>28</v>
      </c>
      <c r="C169" s="20" t="s">
        <v>9</v>
      </c>
      <c r="D169" s="20" t="s">
        <v>52</v>
      </c>
      <c r="E169" s="20">
        <v>3064</v>
      </c>
      <c r="F169" s="21">
        <v>45809</v>
      </c>
    </row>
    <row r="170" spans="1:6">
      <c r="A170" s="16" t="s">
        <v>216</v>
      </c>
      <c r="B170" s="17" t="s">
        <v>8</v>
      </c>
      <c r="C170" s="17" t="s">
        <v>16</v>
      </c>
      <c r="D170" s="17" t="s">
        <v>55</v>
      </c>
      <c r="E170" s="17">
        <v>1004</v>
      </c>
      <c r="F170" s="18">
        <v>45810</v>
      </c>
    </row>
    <row r="171" spans="1:6">
      <c r="A171" s="19" t="s">
        <v>217</v>
      </c>
      <c r="B171" s="20" t="s">
        <v>8</v>
      </c>
      <c r="C171" s="20" t="s">
        <v>19</v>
      </c>
      <c r="D171" s="20" t="s">
        <v>45</v>
      </c>
      <c r="E171" s="20">
        <v>699</v>
      </c>
      <c r="F171" s="21">
        <v>45811</v>
      </c>
    </row>
    <row r="172" spans="1:6">
      <c r="A172" s="16" t="s">
        <v>218</v>
      </c>
      <c r="B172" s="17" t="s">
        <v>15</v>
      </c>
      <c r="C172" s="17" t="s">
        <v>21</v>
      </c>
      <c r="D172" s="17" t="s">
        <v>48</v>
      </c>
      <c r="E172" s="17">
        <v>1264</v>
      </c>
      <c r="F172" s="18">
        <v>45812</v>
      </c>
    </row>
    <row r="173" spans="1:6">
      <c r="A173" s="19" t="s">
        <v>219</v>
      </c>
      <c r="B173" s="20" t="s">
        <v>15</v>
      </c>
      <c r="C173" s="20" t="s">
        <v>12</v>
      </c>
      <c r="D173" s="20" t="s">
        <v>43</v>
      </c>
      <c r="E173" s="20">
        <v>677</v>
      </c>
      <c r="F173" s="21">
        <v>45813</v>
      </c>
    </row>
    <row r="174" spans="1:6">
      <c r="A174" s="16" t="s">
        <v>220</v>
      </c>
      <c r="B174" s="17" t="s">
        <v>18</v>
      </c>
      <c r="C174" s="17" t="s">
        <v>24</v>
      </c>
      <c r="D174" s="17" t="s">
        <v>43</v>
      </c>
      <c r="E174" s="17">
        <v>4820</v>
      </c>
      <c r="F174" s="18">
        <v>45814</v>
      </c>
    </row>
    <row r="175" spans="1:6">
      <c r="A175" s="19" t="s">
        <v>221</v>
      </c>
      <c r="B175" s="20" t="s">
        <v>18</v>
      </c>
      <c r="C175" s="20" t="s">
        <v>26</v>
      </c>
      <c r="D175" s="20" t="s">
        <v>45</v>
      </c>
      <c r="E175" s="20">
        <v>2810</v>
      </c>
      <c r="F175" s="21">
        <v>45815</v>
      </c>
    </row>
    <row r="176" spans="1:6">
      <c r="A176" s="16" t="s">
        <v>222</v>
      </c>
      <c r="B176" s="17" t="s">
        <v>8</v>
      </c>
      <c r="C176" s="17" t="s">
        <v>29</v>
      </c>
      <c r="D176" s="17" t="s">
        <v>43</v>
      </c>
      <c r="E176" s="17">
        <v>1029</v>
      </c>
      <c r="F176" s="18">
        <v>45816</v>
      </c>
    </row>
    <row r="177" spans="1:6">
      <c r="A177" s="19" t="s">
        <v>223</v>
      </c>
      <c r="B177" s="20" t="s">
        <v>23</v>
      </c>
      <c r="C177" s="20" t="s">
        <v>31</v>
      </c>
      <c r="D177" s="20" t="s">
        <v>48</v>
      </c>
      <c r="E177" s="20">
        <v>2855</v>
      </c>
      <c r="F177" s="21">
        <v>45817</v>
      </c>
    </row>
    <row r="178" spans="1:6">
      <c r="A178" s="16" t="s">
        <v>224</v>
      </c>
      <c r="B178" s="17" t="s">
        <v>23</v>
      </c>
      <c r="C178" s="17" t="s">
        <v>33</v>
      </c>
      <c r="D178" s="17" t="s">
        <v>50</v>
      </c>
      <c r="E178" s="17">
        <v>1544</v>
      </c>
      <c r="F178" s="18">
        <v>45818</v>
      </c>
    </row>
    <row r="179" spans="1:6">
      <c r="A179" s="19" t="s">
        <v>225</v>
      </c>
      <c r="B179" s="20" t="s">
        <v>28</v>
      </c>
      <c r="C179" s="20" t="s">
        <v>16</v>
      </c>
      <c r="D179" s="20" t="s">
        <v>52</v>
      </c>
      <c r="E179" s="20">
        <v>3049</v>
      </c>
      <c r="F179" s="21">
        <v>45819</v>
      </c>
    </row>
    <row r="180" spans="1:6">
      <c r="A180" s="16" t="s">
        <v>226</v>
      </c>
      <c r="B180" s="17" t="s">
        <v>28</v>
      </c>
      <c r="C180" s="17" t="s">
        <v>19</v>
      </c>
      <c r="D180" s="17" t="s">
        <v>45</v>
      </c>
      <c r="E180" s="17">
        <v>3253</v>
      </c>
      <c r="F180" s="18">
        <v>45820</v>
      </c>
    </row>
    <row r="181" spans="1:6">
      <c r="A181" s="19" t="s">
        <v>227</v>
      </c>
      <c r="B181" s="20" t="s">
        <v>8</v>
      </c>
      <c r="C181" s="20" t="s">
        <v>21</v>
      </c>
      <c r="D181" s="20" t="s">
        <v>55</v>
      </c>
      <c r="E181" s="20">
        <v>1466</v>
      </c>
      <c r="F181" s="21">
        <v>45821</v>
      </c>
    </row>
    <row r="182" spans="1:6">
      <c r="A182" s="16" t="s">
        <v>228</v>
      </c>
      <c r="B182" s="17" t="s">
        <v>15</v>
      </c>
      <c r="C182" s="17" t="s">
        <v>9</v>
      </c>
      <c r="D182" s="17" t="s">
        <v>45</v>
      </c>
      <c r="E182" s="17">
        <v>3303</v>
      </c>
      <c r="F182" s="18">
        <v>45822</v>
      </c>
    </row>
    <row r="183" spans="1:6">
      <c r="A183" s="19" t="s">
        <v>229</v>
      </c>
      <c r="B183" s="20" t="s">
        <v>18</v>
      </c>
      <c r="C183" s="20" t="s">
        <v>12</v>
      </c>
      <c r="D183" s="20" t="s">
        <v>48</v>
      </c>
      <c r="E183" s="20">
        <v>849</v>
      </c>
      <c r="F183" s="21">
        <v>45823</v>
      </c>
    </row>
    <row r="184" spans="1:6">
      <c r="A184" s="16" t="s">
        <v>230</v>
      </c>
      <c r="B184" s="17" t="s">
        <v>23</v>
      </c>
      <c r="C184" s="17" t="s">
        <v>9</v>
      </c>
      <c r="D184" s="17" t="s">
        <v>43</v>
      </c>
      <c r="E184" s="17">
        <v>1895</v>
      </c>
      <c r="F184" s="18">
        <v>45824</v>
      </c>
    </row>
    <row r="185" spans="1:6">
      <c r="A185" s="19" t="s">
        <v>231</v>
      </c>
      <c r="B185" s="20" t="s">
        <v>28</v>
      </c>
      <c r="C185" s="20" t="s">
        <v>16</v>
      </c>
      <c r="D185" s="20" t="s">
        <v>43</v>
      </c>
      <c r="E185" s="20">
        <v>3668</v>
      </c>
      <c r="F185" s="21">
        <v>45825</v>
      </c>
    </row>
    <row r="186" spans="1:6">
      <c r="A186" s="16" t="s">
        <v>232</v>
      </c>
      <c r="B186" s="17" t="s">
        <v>8</v>
      </c>
      <c r="C186" s="17" t="s">
        <v>19</v>
      </c>
      <c r="D186" s="17" t="s">
        <v>45</v>
      </c>
      <c r="E186" s="17">
        <v>1214</v>
      </c>
      <c r="F186" s="18">
        <v>45826</v>
      </c>
    </row>
    <row r="187" spans="1:6">
      <c r="A187" s="19" t="s">
        <v>233</v>
      </c>
      <c r="B187" s="20" t="s">
        <v>15</v>
      </c>
      <c r="C187" s="20" t="s">
        <v>21</v>
      </c>
      <c r="D187" s="20" t="s">
        <v>43</v>
      </c>
      <c r="E187" s="20">
        <v>4372</v>
      </c>
      <c r="F187" s="21">
        <v>45827</v>
      </c>
    </row>
    <row r="188" spans="1:6">
      <c r="A188" s="16" t="s">
        <v>234</v>
      </c>
      <c r="B188" s="17" t="s">
        <v>18</v>
      </c>
      <c r="C188" s="17" t="s">
        <v>12</v>
      </c>
      <c r="D188" s="17" t="s">
        <v>48</v>
      </c>
      <c r="E188" s="17">
        <v>3671</v>
      </c>
      <c r="F188" s="18">
        <v>45828</v>
      </c>
    </row>
    <row r="189" spans="1:6">
      <c r="A189" s="19" t="s">
        <v>235</v>
      </c>
      <c r="B189" s="20" t="s">
        <v>23</v>
      </c>
      <c r="C189" s="20" t="s">
        <v>24</v>
      </c>
      <c r="D189" s="20" t="s">
        <v>50</v>
      </c>
      <c r="E189" s="20">
        <v>1807</v>
      </c>
      <c r="F189" s="21">
        <v>45829</v>
      </c>
    </row>
    <row r="190" spans="1:6">
      <c r="A190" s="16" t="s">
        <v>236</v>
      </c>
      <c r="B190" s="17" t="s">
        <v>28</v>
      </c>
      <c r="C190" s="17" t="s">
        <v>26</v>
      </c>
      <c r="D190" s="17" t="s">
        <v>52</v>
      </c>
      <c r="E190" s="17">
        <v>3668</v>
      </c>
      <c r="F190" s="18">
        <v>45830</v>
      </c>
    </row>
    <row r="191" spans="1:6">
      <c r="A191" s="19" t="s">
        <v>237</v>
      </c>
      <c r="B191" s="20" t="s">
        <v>8</v>
      </c>
      <c r="C191" s="20" t="s">
        <v>29</v>
      </c>
      <c r="D191" s="20" t="s">
        <v>45</v>
      </c>
      <c r="E191" s="20">
        <v>4170</v>
      </c>
      <c r="F191" s="21">
        <v>45831</v>
      </c>
    </row>
    <row r="192" spans="1:6">
      <c r="A192" s="16" t="s">
        <v>238</v>
      </c>
      <c r="B192" s="17" t="s">
        <v>8</v>
      </c>
      <c r="C192" s="17" t="s">
        <v>31</v>
      </c>
      <c r="D192" s="17" t="s">
        <v>55</v>
      </c>
      <c r="E192" s="17">
        <v>4416</v>
      </c>
      <c r="F192" s="18">
        <v>45832</v>
      </c>
    </row>
    <row r="193" spans="1:6">
      <c r="A193" s="19" t="s">
        <v>239</v>
      </c>
      <c r="B193" s="20" t="s">
        <v>15</v>
      </c>
      <c r="C193" s="20" t="s">
        <v>33</v>
      </c>
      <c r="D193" s="20" t="s">
        <v>45</v>
      </c>
      <c r="E193" s="20">
        <v>2419</v>
      </c>
      <c r="F193" s="21">
        <v>45833</v>
      </c>
    </row>
    <row r="194" spans="1:6">
      <c r="A194" s="16" t="s">
        <v>240</v>
      </c>
      <c r="B194" s="17" t="s">
        <v>15</v>
      </c>
      <c r="C194" s="17" t="s">
        <v>16</v>
      </c>
      <c r="D194" s="17" t="s">
        <v>48</v>
      </c>
      <c r="E194" s="17">
        <v>4090</v>
      </c>
      <c r="F194" s="18">
        <v>45834</v>
      </c>
    </row>
    <row r="195" spans="1:6">
      <c r="A195" s="19" t="s">
        <v>241</v>
      </c>
      <c r="B195" s="20" t="s">
        <v>18</v>
      </c>
      <c r="C195" s="20" t="s">
        <v>19</v>
      </c>
      <c r="D195" s="20" t="s">
        <v>43</v>
      </c>
      <c r="E195" s="20">
        <v>2242</v>
      </c>
      <c r="F195" s="21">
        <v>45835</v>
      </c>
    </row>
    <row r="196" spans="1:6">
      <c r="A196" s="16" t="s">
        <v>242</v>
      </c>
      <c r="B196" s="17" t="s">
        <v>18</v>
      </c>
      <c r="C196" s="17" t="s">
        <v>21</v>
      </c>
      <c r="D196" s="17" t="s">
        <v>50</v>
      </c>
      <c r="E196" s="17">
        <v>636</v>
      </c>
      <c r="F196" s="18">
        <v>45836</v>
      </c>
    </row>
    <row r="197" spans="1:6">
      <c r="A197" s="19" t="s">
        <v>243</v>
      </c>
      <c r="B197" s="20" t="s">
        <v>8</v>
      </c>
      <c r="C197" s="20" t="s">
        <v>9</v>
      </c>
      <c r="D197" s="20" t="s">
        <v>48</v>
      </c>
      <c r="E197" s="20">
        <v>3383</v>
      </c>
      <c r="F197" s="21">
        <v>45837</v>
      </c>
    </row>
    <row r="198" spans="1:6">
      <c r="A198" s="16" t="s">
        <v>244</v>
      </c>
      <c r="B198" s="17" t="s">
        <v>23</v>
      </c>
      <c r="C198" s="17" t="s">
        <v>12</v>
      </c>
      <c r="D198" s="17" t="s">
        <v>50</v>
      </c>
      <c r="E198" s="17">
        <v>2605</v>
      </c>
      <c r="F198" s="18">
        <v>45838</v>
      </c>
    </row>
    <row r="199" spans="1:6">
      <c r="A199" s="19" t="s">
        <v>245</v>
      </c>
      <c r="B199" s="20" t="s">
        <v>23</v>
      </c>
      <c r="C199" s="20" t="s">
        <v>9</v>
      </c>
      <c r="D199" s="20" t="s">
        <v>52</v>
      </c>
      <c r="E199" s="20">
        <v>2806</v>
      </c>
      <c r="F199" s="21">
        <v>45839</v>
      </c>
    </row>
    <row r="200" spans="1:6">
      <c r="A200" s="16" t="s">
        <v>246</v>
      </c>
      <c r="B200" s="17" t="s">
        <v>28</v>
      </c>
      <c r="C200" s="17" t="s">
        <v>16</v>
      </c>
      <c r="D200" s="17" t="s">
        <v>55</v>
      </c>
      <c r="E200" s="17">
        <v>1372</v>
      </c>
      <c r="F200" s="18">
        <v>45840</v>
      </c>
    </row>
    <row r="201" spans="1:6">
      <c r="A201" s="19" t="s">
        <v>247</v>
      </c>
      <c r="B201" s="20" t="s">
        <v>28</v>
      </c>
      <c r="C201" s="20" t="s">
        <v>19</v>
      </c>
      <c r="D201" s="20" t="s">
        <v>45</v>
      </c>
      <c r="E201" s="20">
        <v>3218</v>
      </c>
      <c r="F201" s="21">
        <v>45841</v>
      </c>
    </row>
    <row r="202" spans="1:6">
      <c r="A202" s="16" t="s">
        <v>248</v>
      </c>
      <c r="B202" s="17" t="s">
        <v>8</v>
      </c>
      <c r="C202" s="17" t="s">
        <v>21</v>
      </c>
      <c r="D202" s="17" t="s">
        <v>48</v>
      </c>
      <c r="E202" s="17">
        <v>1345</v>
      </c>
      <c r="F202" s="18">
        <v>45842</v>
      </c>
    </row>
    <row r="203" spans="1:6">
      <c r="A203" s="19" t="s">
        <v>249</v>
      </c>
      <c r="B203" s="20" t="s">
        <v>15</v>
      </c>
      <c r="C203" s="20" t="s">
        <v>12</v>
      </c>
      <c r="D203" s="20" t="s">
        <v>43</v>
      </c>
      <c r="E203" s="20">
        <v>3738</v>
      </c>
      <c r="F203" s="21">
        <v>45843</v>
      </c>
    </row>
    <row r="204" spans="1:6">
      <c r="A204" s="16" t="s">
        <v>250</v>
      </c>
      <c r="B204" s="17" t="s">
        <v>18</v>
      </c>
      <c r="C204" s="17" t="s">
        <v>24</v>
      </c>
      <c r="D204" s="17" t="s">
        <v>43</v>
      </c>
      <c r="E204" s="17">
        <v>2052</v>
      </c>
      <c r="F204" s="18">
        <v>45844</v>
      </c>
    </row>
    <row r="205" spans="1:6">
      <c r="A205" s="19" t="s">
        <v>251</v>
      </c>
      <c r="B205" s="20" t="s">
        <v>23</v>
      </c>
      <c r="C205" s="20" t="s">
        <v>26</v>
      </c>
      <c r="D205" s="20" t="s">
        <v>45</v>
      </c>
      <c r="E205" s="20">
        <v>1660</v>
      </c>
      <c r="F205" s="21">
        <v>45845</v>
      </c>
    </row>
    <row r="206" spans="1:6">
      <c r="A206" s="16" t="s">
        <v>252</v>
      </c>
      <c r="B206" s="17" t="s">
        <v>28</v>
      </c>
      <c r="C206" s="17" t="s">
        <v>29</v>
      </c>
      <c r="D206" s="17" t="s">
        <v>43</v>
      </c>
      <c r="E206" s="17">
        <v>4632</v>
      </c>
      <c r="F206" s="18">
        <v>45846</v>
      </c>
    </row>
    <row r="207" spans="1:6">
      <c r="A207" s="19" t="s">
        <v>253</v>
      </c>
      <c r="B207" s="20" t="s">
        <v>8</v>
      </c>
      <c r="C207" s="20" t="s">
        <v>31</v>
      </c>
      <c r="D207" s="20" t="s">
        <v>45</v>
      </c>
      <c r="E207" s="20">
        <v>2898</v>
      </c>
      <c r="F207" s="21">
        <v>45847</v>
      </c>
    </row>
    <row r="208" spans="1:6">
      <c r="A208" s="16" t="s">
        <v>254</v>
      </c>
      <c r="B208" s="17" t="s">
        <v>15</v>
      </c>
      <c r="C208" s="17" t="s">
        <v>33</v>
      </c>
      <c r="D208" s="17" t="s">
        <v>43</v>
      </c>
      <c r="E208" s="17">
        <v>4311</v>
      </c>
      <c r="F208" s="18">
        <v>45848</v>
      </c>
    </row>
    <row r="209" spans="1:6">
      <c r="A209" s="19" t="s">
        <v>255</v>
      </c>
      <c r="B209" s="20" t="s">
        <v>18</v>
      </c>
      <c r="C209" s="20" t="s">
        <v>16</v>
      </c>
      <c r="D209" s="20" t="s">
        <v>48</v>
      </c>
      <c r="E209" s="20">
        <v>2673</v>
      </c>
      <c r="F209" s="21">
        <v>45849</v>
      </c>
    </row>
    <row r="210" spans="1:6">
      <c r="A210" s="16" t="s">
        <v>256</v>
      </c>
      <c r="B210" s="17" t="s">
        <v>23</v>
      </c>
      <c r="C210" s="17" t="s">
        <v>19</v>
      </c>
      <c r="D210" s="17" t="s">
        <v>50</v>
      </c>
      <c r="E210" s="17">
        <v>4201</v>
      </c>
      <c r="F210" s="18">
        <v>45850</v>
      </c>
    </row>
    <row r="211" spans="1:6">
      <c r="A211" s="19" t="s">
        <v>257</v>
      </c>
      <c r="B211" s="20" t="s">
        <v>28</v>
      </c>
      <c r="C211" s="20" t="s">
        <v>21</v>
      </c>
      <c r="D211" s="20" t="s">
        <v>52</v>
      </c>
      <c r="E211" s="20">
        <v>1466</v>
      </c>
      <c r="F211" s="21">
        <v>45851</v>
      </c>
    </row>
    <row r="212" spans="1:6">
      <c r="A212" s="16" t="s">
        <v>258</v>
      </c>
      <c r="B212" s="17" t="s">
        <v>8</v>
      </c>
      <c r="C212" s="17" t="s">
        <v>9</v>
      </c>
      <c r="D212" s="17" t="s">
        <v>45</v>
      </c>
      <c r="E212" s="17">
        <v>2687</v>
      </c>
      <c r="F212" s="18">
        <v>45852</v>
      </c>
    </row>
    <row r="213" spans="1:6">
      <c r="A213" s="19" t="s">
        <v>259</v>
      </c>
      <c r="B213" s="20" t="s">
        <v>8</v>
      </c>
      <c r="C213" s="20" t="s">
        <v>12</v>
      </c>
      <c r="D213" s="20" t="s">
        <v>55</v>
      </c>
      <c r="E213" s="20">
        <v>830</v>
      </c>
      <c r="F213" s="21">
        <v>45853</v>
      </c>
    </row>
    <row r="214" spans="1:6">
      <c r="A214" s="16" t="s">
        <v>260</v>
      </c>
      <c r="B214" s="17" t="s">
        <v>15</v>
      </c>
      <c r="C214" s="17" t="s">
        <v>9</v>
      </c>
      <c r="D214" s="17" t="s">
        <v>45</v>
      </c>
      <c r="E214" s="17">
        <v>3855</v>
      </c>
      <c r="F214" s="18">
        <v>45854</v>
      </c>
    </row>
    <row r="215" spans="1:6">
      <c r="A215" s="19" t="s">
        <v>261</v>
      </c>
      <c r="B215" s="20" t="s">
        <v>15</v>
      </c>
      <c r="C215" s="20" t="s">
        <v>16</v>
      </c>
      <c r="D215" s="20" t="s">
        <v>48</v>
      </c>
      <c r="E215" s="20">
        <v>4568</v>
      </c>
      <c r="F215" s="21">
        <v>45855</v>
      </c>
    </row>
    <row r="216" spans="1:6">
      <c r="A216" s="16" t="s">
        <v>262</v>
      </c>
      <c r="B216" s="17" t="s">
        <v>18</v>
      </c>
      <c r="C216" s="17" t="s">
        <v>19</v>
      </c>
      <c r="D216" s="17" t="s">
        <v>43</v>
      </c>
      <c r="E216" s="17">
        <v>3509</v>
      </c>
      <c r="F216" s="18">
        <v>45856</v>
      </c>
    </row>
    <row r="217" spans="1:6">
      <c r="A217" s="19" t="s">
        <v>263</v>
      </c>
      <c r="B217" s="20" t="s">
        <v>18</v>
      </c>
      <c r="C217" s="20" t="s">
        <v>21</v>
      </c>
      <c r="D217" s="20" t="s">
        <v>50</v>
      </c>
      <c r="E217" s="20">
        <v>3227</v>
      </c>
      <c r="F217" s="21">
        <v>45857</v>
      </c>
    </row>
    <row r="218" spans="1:6">
      <c r="A218" s="16" t="s">
        <v>264</v>
      </c>
      <c r="B218" s="17" t="s">
        <v>8</v>
      </c>
      <c r="C218" s="17" t="s">
        <v>12</v>
      </c>
      <c r="D218" s="17" t="s">
        <v>48</v>
      </c>
      <c r="E218" s="17">
        <v>4371</v>
      </c>
      <c r="F218" s="18">
        <v>45858</v>
      </c>
    </row>
    <row r="219" spans="1:6">
      <c r="A219" s="19" t="s">
        <v>265</v>
      </c>
      <c r="B219" s="20" t="s">
        <v>23</v>
      </c>
      <c r="C219" s="20" t="s">
        <v>24</v>
      </c>
      <c r="D219" s="20" t="s">
        <v>50</v>
      </c>
      <c r="E219" s="20">
        <v>649</v>
      </c>
      <c r="F219" s="21">
        <v>45859</v>
      </c>
    </row>
    <row r="220" spans="1:6">
      <c r="A220" s="16" t="s">
        <v>266</v>
      </c>
      <c r="B220" s="17" t="s">
        <v>23</v>
      </c>
      <c r="C220" s="17" t="s">
        <v>26</v>
      </c>
      <c r="D220" s="17" t="s">
        <v>52</v>
      </c>
      <c r="E220" s="17">
        <v>2145</v>
      </c>
      <c r="F220" s="18">
        <v>45860</v>
      </c>
    </row>
    <row r="221" spans="1:6">
      <c r="A221" s="19" t="s">
        <v>267</v>
      </c>
      <c r="B221" s="20" t="s">
        <v>28</v>
      </c>
      <c r="C221" s="20" t="s">
        <v>29</v>
      </c>
      <c r="D221" s="20" t="s">
        <v>55</v>
      </c>
      <c r="E221" s="20">
        <v>1439</v>
      </c>
      <c r="F221" s="21">
        <v>45861</v>
      </c>
    </row>
    <row r="222" spans="1:6">
      <c r="A222" s="16" t="s">
        <v>268</v>
      </c>
      <c r="B222" s="17" t="s">
        <v>28</v>
      </c>
      <c r="C222" s="17" t="s">
        <v>31</v>
      </c>
      <c r="D222" s="17" t="s">
        <v>45</v>
      </c>
      <c r="E222" s="17">
        <v>1524</v>
      </c>
      <c r="F222" s="18">
        <v>45862</v>
      </c>
    </row>
    <row r="223" spans="1:6">
      <c r="A223" s="19" t="s">
        <v>269</v>
      </c>
      <c r="B223" s="20" t="s">
        <v>8</v>
      </c>
      <c r="C223" s="20" t="s">
        <v>33</v>
      </c>
      <c r="D223" s="20" t="s">
        <v>48</v>
      </c>
      <c r="E223" s="20">
        <v>1154</v>
      </c>
      <c r="F223" s="21">
        <v>45863</v>
      </c>
    </row>
    <row r="224" spans="1:6">
      <c r="A224" s="16" t="s">
        <v>270</v>
      </c>
      <c r="B224" s="17" t="s">
        <v>15</v>
      </c>
      <c r="C224" s="17" t="s">
        <v>16</v>
      </c>
      <c r="D224" s="17" t="s">
        <v>43</v>
      </c>
      <c r="E224" s="17">
        <v>557</v>
      </c>
      <c r="F224" s="18">
        <v>45864</v>
      </c>
    </row>
    <row r="225" spans="1:6">
      <c r="A225" s="19" t="s">
        <v>271</v>
      </c>
      <c r="B225" s="20" t="s">
        <v>18</v>
      </c>
      <c r="C225" s="20" t="s">
        <v>19</v>
      </c>
      <c r="D225" s="20" t="s">
        <v>43</v>
      </c>
      <c r="E225" s="20">
        <v>4599</v>
      </c>
      <c r="F225" s="21">
        <v>45865</v>
      </c>
    </row>
    <row r="226" spans="1:6">
      <c r="A226" s="16" t="s">
        <v>272</v>
      </c>
      <c r="B226" s="17" t="s">
        <v>23</v>
      </c>
      <c r="C226" s="17" t="s">
        <v>21</v>
      </c>
      <c r="D226" s="17" t="s">
        <v>45</v>
      </c>
      <c r="E226" s="17">
        <v>2718</v>
      </c>
      <c r="F226" s="18">
        <v>45866</v>
      </c>
    </row>
    <row r="227" spans="1:6">
      <c r="A227" s="19" t="s">
        <v>273</v>
      </c>
      <c r="B227" s="20" t="s">
        <v>28</v>
      </c>
      <c r="C227" s="20" t="s">
        <v>9</v>
      </c>
      <c r="D227" s="20" t="s">
        <v>43</v>
      </c>
      <c r="E227" s="20">
        <v>4137</v>
      </c>
      <c r="F227" s="21">
        <v>45867</v>
      </c>
    </row>
    <row r="228" spans="1:6">
      <c r="A228" s="16" t="s">
        <v>274</v>
      </c>
      <c r="B228" s="17" t="s">
        <v>8</v>
      </c>
      <c r="C228" s="17" t="s">
        <v>12</v>
      </c>
      <c r="D228" s="17" t="s">
        <v>48</v>
      </c>
      <c r="E228" s="17">
        <v>2763</v>
      </c>
      <c r="F228" s="18">
        <v>45868</v>
      </c>
    </row>
    <row r="229" spans="1:6">
      <c r="A229" s="19" t="s">
        <v>275</v>
      </c>
      <c r="B229" s="20" t="s">
        <v>15</v>
      </c>
      <c r="C229" s="20" t="s">
        <v>9</v>
      </c>
      <c r="D229" s="20" t="s">
        <v>50</v>
      </c>
      <c r="E229" s="20">
        <v>4525</v>
      </c>
      <c r="F229" s="21">
        <v>45869</v>
      </c>
    </row>
    <row r="230" spans="1:6">
      <c r="A230" s="16" t="s">
        <v>276</v>
      </c>
      <c r="B230" s="17" t="s">
        <v>18</v>
      </c>
      <c r="C230" s="17" t="s">
        <v>16</v>
      </c>
      <c r="D230" s="17" t="s">
        <v>52</v>
      </c>
      <c r="E230" s="17">
        <v>4290</v>
      </c>
      <c r="F230" s="18">
        <v>45870</v>
      </c>
    </row>
    <row r="231" spans="1:6">
      <c r="A231" s="19" t="s">
        <v>277</v>
      </c>
      <c r="B231" s="20" t="s">
        <v>23</v>
      </c>
      <c r="C231" s="20" t="s">
        <v>19</v>
      </c>
      <c r="D231" s="20" t="s">
        <v>45</v>
      </c>
      <c r="E231" s="20">
        <v>4728</v>
      </c>
      <c r="F231" s="21">
        <v>45871</v>
      </c>
    </row>
    <row r="232" spans="1:6">
      <c r="A232" s="16" t="s">
        <v>278</v>
      </c>
      <c r="B232" s="17" t="s">
        <v>28</v>
      </c>
      <c r="C232" s="17" t="s">
        <v>21</v>
      </c>
      <c r="D232" s="17" t="s">
        <v>55</v>
      </c>
      <c r="E232" s="17">
        <v>4700</v>
      </c>
      <c r="F232" s="18">
        <v>45872</v>
      </c>
    </row>
    <row r="233" spans="1:6">
      <c r="A233" s="19" t="s">
        <v>279</v>
      </c>
      <c r="B233" s="20" t="s">
        <v>8</v>
      </c>
      <c r="C233" s="20" t="s">
        <v>12</v>
      </c>
      <c r="D233" s="20" t="s">
        <v>45</v>
      </c>
      <c r="E233" s="20">
        <v>772</v>
      </c>
      <c r="F233" s="21">
        <v>45873</v>
      </c>
    </row>
    <row r="234" spans="1:6">
      <c r="A234" s="16" t="s">
        <v>280</v>
      </c>
      <c r="B234" s="17" t="s">
        <v>8</v>
      </c>
      <c r="C234" s="17" t="s">
        <v>24</v>
      </c>
      <c r="D234" s="17" t="s">
        <v>48</v>
      </c>
      <c r="E234" s="17">
        <v>1773</v>
      </c>
      <c r="F234" s="18">
        <v>45874</v>
      </c>
    </row>
    <row r="235" spans="1:6">
      <c r="A235" s="19" t="s">
        <v>281</v>
      </c>
      <c r="B235" s="20" t="s">
        <v>15</v>
      </c>
      <c r="C235" s="20" t="s">
        <v>26</v>
      </c>
      <c r="D235" s="20" t="s">
        <v>43</v>
      </c>
      <c r="E235" s="20">
        <v>2830</v>
      </c>
      <c r="F235" s="21">
        <v>45875</v>
      </c>
    </row>
    <row r="236" spans="1:6">
      <c r="A236" s="16" t="s">
        <v>282</v>
      </c>
      <c r="B236" s="17" t="s">
        <v>15</v>
      </c>
      <c r="C236" s="17" t="s">
        <v>29</v>
      </c>
      <c r="D236" s="17" t="s">
        <v>43</v>
      </c>
      <c r="E236" s="17">
        <v>3963</v>
      </c>
      <c r="F236" s="18">
        <v>45876</v>
      </c>
    </row>
    <row r="237" spans="1:6">
      <c r="A237" s="19" t="s">
        <v>283</v>
      </c>
      <c r="B237" s="20" t="s">
        <v>18</v>
      </c>
      <c r="C237" s="20" t="s">
        <v>31</v>
      </c>
      <c r="D237" s="20" t="s">
        <v>45</v>
      </c>
      <c r="E237" s="20">
        <v>4489</v>
      </c>
      <c r="F237" s="21">
        <v>45877</v>
      </c>
    </row>
    <row r="238" spans="1:6">
      <c r="A238" s="16" t="s">
        <v>284</v>
      </c>
      <c r="B238" s="17" t="s">
        <v>18</v>
      </c>
      <c r="C238" s="17" t="s">
        <v>33</v>
      </c>
      <c r="D238" s="17" t="s">
        <v>43</v>
      </c>
      <c r="E238" s="17">
        <v>4306</v>
      </c>
      <c r="F238" s="18">
        <v>45878</v>
      </c>
    </row>
    <row r="239" spans="1:6">
      <c r="A239" s="19" t="s">
        <v>285</v>
      </c>
      <c r="B239" s="20" t="s">
        <v>8</v>
      </c>
      <c r="C239" s="20" t="s">
        <v>16</v>
      </c>
      <c r="D239" s="20" t="s">
        <v>48</v>
      </c>
      <c r="E239" s="20">
        <v>3085</v>
      </c>
      <c r="F239" s="21">
        <v>45879</v>
      </c>
    </row>
    <row r="240" spans="1:6">
      <c r="A240" s="16" t="s">
        <v>286</v>
      </c>
      <c r="B240" s="17" t="s">
        <v>23</v>
      </c>
      <c r="C240" s="17" t="s">
        <v>19</v>
      </c>
      <c r="D240" s="17" t="s">
        <v>50</v>
      </c>
      <c r="E240" s="17">
        <v>1110</v>
      </c>
      <c r="F240" s="18">
        <v>45880</v>
      </c>
    </row>
    <row r="241" spans="1:6">
      <c r="A241" s="19" t="s">
        <v>287</v>
      </c>
      <c r="B241" s="20" t="s">
        <v>23</v>
      </c>
      <c r="C241" s="20" t="s">
        <v>21</v>
      </c>
      <c r="D241" s="20" t="s">
        <v>52</v>
      </c>
      <c r="E241" s="20">
        <v>3196</v>
      </c>
      <c r="F241" s="21">
        <v>45881</v>
      </c>
    </row>
    <row r="242" spans="1:6">
      <c r="A242" s="16" t="s">
        <v>288</v>
      </c>
      <c r="B242" s="17" t="s">
        <v>28</v>
      </c>
      <c r="C242" s="17" t="s">
        <v>9</v>
      </c>
      <c r="D242" s="17" t="s">
        <v>45</v>
      </c>
      <c r="E242" s="17">
        <v>3520</v>
      </c>
      <c r="F242" s="18">
        <v>45882</v>
      </c>
    </row>
    <row r="243" spans="1:6">
      <c r="A243" s="19" t="s">
        <v>289</v>
      </c>
      <c r="B243" s="20" t="s">
        <v>28</v>
      </c>
      <c r="C243" s="20" t="s">
        <v>12</v>
      </c>
      <c r="D243" s="20" t="s">
        <v>55</v>
      </c>
      <c r="E243" s="20">
        <v>1956</v>
      </c>
      <c r="F243" s="21">
        <v>45883</v>
      </c>
    </row>
    <row r="244" spans="1:6">
      <c r="A244" s="16" t="s">
        <v>290</v>
      </c>
      <c r="B244" s="17" t="s">
        <v>8</v>
      </c>
      <c r="C244" s="17" t="s">
        <v>9</v>
      </c>
      <c r="D244" s="17" t="s">
        <v>45</v>
      </c>
      <c r="E244" s="17">
        <v>4035</v>
      </c>
      <c r="F244" s="18">
        <v>45884</v>
      </c>
    </row>
    <row r="245" spans="1:6">
      <c r="A245" s="19" t="s">
        <v>291</v>
      </c>
      <c r="B245" s="20" t="s">
        <v>15</v>
      </c>
      <c r="C245" s="20" t="s">
        <v>16</v>
      </c>
      <c r="D245" s="20" t="s">
        <v>48</v>
      </c>
      <c r="E245" s="20">
        <v>4436</v>
      </c>
      <c r="F245" s="21">
        <v>45885</v>
      </c>
    </row>
    <row r="246" spans="1:6">
      <c r="A246" s="16" t="s">
        <v>292</v>
      </c>
      <c r="B246" s="17" t="s">
        <v>18</v>
      </c>
      <c r="C246" s="17" t="s">
        <v>19</v>
      </c>
      <c r="D246" s="17" t="s">
        <v>43</v>
      </c>
      <c r="E246" s="17">
        <v>3522</v>
      </c>
      <c r="F246" s="18">
        <v>45886</v>
      </c>
    </row>
    <row r="247" spans="1:6">
      <c r="A247" s="19" t="s">
        <v>293</v>
      </c>
      <c r="B247" s="20" t="s">
        <v>23</v>
      </c>
      <c r="C247" s="20" t="s">
        <v>21</v>
      </c>
      <c r="D247" s="20" t="s">
        <v>50</v>
      </c>
      <c r="E247" s="20">
        <v>711</v>
      </c>
      <c r="F247" s="21">
        <v>45887</v>
      </c>
    </row>
    <row r="248" spans="1:6">
      <c r="A248" s="16" t="s">
        <v>294</v>
      </c>
      <c r="B248" s="17" t="s">
        <v>28</v>
      </c>
      <c r="C248" s="17" t="s">
        <v>12</v>
      </c>
      <c r="D248" s="17" t="s">
        <v>48</v>
      </c>
      <c r="E248" s="17">
        <v>4895</v>
      </c>
      <c r="F248" s="18">
        <v>45888</v>
      </c>
    </row>
    <row r="249" spans="1:6">
      <c r="A249" s="19" t="s">
        <v>295</v>
      </c>
      <c r="B249" s="20" t="s">
        <v>8</v>
      </c>
      <c r="C249" s="20" t="s">
        <v>24</v>
      </c>
      <c r="D249" s="20" t="s">
        <v>50</v>
      </c>
      <c r="E249" s="20">
        <v>3105</v>
      </c>
      <c r="F249" s="21">
        <v>45889</v>
      </c>
    </row>
    <row r="250" spans="1:6">
      <c r="A250" s="16" t="s">
        <v>296</v>
      </c>
      <c r="B250" s="17" t="s">
        <v>15</v>
      </c>
      <c r="C250" s="17" t="s">
        <v>26</v>
      </c>
      <c r="D250" s="17" t="s">
        <v>52</v>
      </c>
      <c r="E250" s="17">
        <v>2610</v>
      </c>
      <c r="F250" s="18">
        <v>45890</v>
      </c>
    </row>
    <row r="251" spans="1:6">
      <c r="A251" s="19" t="s">
        <v>297</v>
      </c>
      <c r="B251" s="20" t="s">
        <v>18</v>
      </c>
      <c r="C251" s="20" t="s">
        <v>29</v>
      </c>
      <c r="D251" s="20" t="s">
        <v>55</v>
      </c>
      <c r="E251" s="20">
        <v>3123</v>
      </c>
      <c r="F251" s="21">
        <v>45891</v>
      </c>
    </row>
    <row r="252" spans="1:6">
      <c r="A252" s="16" t="s">
        <v>298</v>
      </c>
      <c r="B252" s="17" t="s">
        <v>23</v>
      </c>
      <c r="C252" s="17" t="s">
        <v>31</v>
      </c>
      <c r="D252" s="17" t="s">
        <v>45</v>
      </c>
      <c r="E252" s="17">
        <v>1243</v>
      </c>
      <c r="F252" s="18">
        <v>45892</v>
      </c>
    </row>
    <row r="253" spans="1:6">
      <c r="A253" s="19" t="s">
        <v>299</v>
      </c>
      <c r="B253" s="20" t="s">
        <v>28</v>
      </c>
      <c r="C253" s="20" t="s">
        <v>33</v>
      </c>
      <c r="D253" s="20" t="s">
        <v>48</v>
      </c>
      <c r="E253" s="20">
        <v>1865</v>
      </c>
      <c r="F253" s="21">
        <v>45893</v>
      </c>
    </row>
    <row r="254" spans="1:6">
      <c r="A254" s="16" t="s">
        <v>300</v>
      </c>
      <c r="B254" s="17" t="s">
        <v>8</v>
      </c>
      <c r="C254" s="17" t="s">
        <v>16</v>
      </c>
      <c r="D254" s="17" t="s">
        <v>43</v>
      </c>
      <c r="E254" s="17">
        <v>551</v>
      </c>
      <c r="F254" s="18">
        <v>45894</v>
      </c>
    </row>
    <row r="255" spans="1:6">
      <c r="A255" s="19" t="s">
        <v>301</v>
      </c>
      <c r="B255" s="20" t="s">
        <v>8</v>
      </c>
      <c r="C255" s="20" t="s">
        <v>19</v>
      </c>
      <c r="D255" s="20" t="s">
        <v>43</v>
      </c>
      <c r="E255" s="20">
        <v>1515</v>
      </c>
      <c r="F255" s="21">
        <v>45895</v>
      </c>
    </row>
    <row r="256" spans="1:6">
      <c r="A256" s="16" t="s">
        <v>302</v>
      </c>
      <c r="B256" s="17" t="s">
        <v>15</v>
      </c>
      <c r="C256" s="17" t="s">
        <v>21</v>
      </c>
      <c r="D256" s="17" t="s">
        <v>45</v>
      </c>
      <c r="E256" s="17">
        <v>2801</v>
      </c>
      <c r="F256" s="18">
        <v>45896</v>
      </c>
    </row>
    <row r="257" spans="1:6">
      <c r="A257" s="19" t="s">
        <v>303</v>
      </c>
      <c r="B257" s="20" t="s">
        <v>15</v>
      </c>
      <c r="C257" s="20" t="s">
        <v>9</v>
      </c>
      <c r="D257" s="20" t="s">
        <v>43</v>
      </c>
      <c r="E257" s="20">
        <v>1020</v>
      </c>
      <c r="F257" s="21">
        <v>45897</v>
      </c>
    </row>
    <row r="258" spans="1:6">
      <c r="A258" s="16" t="s">
        <v>304</v>
      </c>
      <c r="B258" s="17" t="s">
        <v>18</v>
      </c>
      <c r="C258" s="17" t="s">
        <v>12</v>
      </c>
      <c r="D258" s="17" t="s">
        <v>45</v>
      </c>
      <c r="E258" s="17">
        <v>3882</v>
      </c>
      <c r="F258" s="18">
        <v>45898</v>
      </c>
    </row>
    <row r="259" spans="1:6">
      <c r="A259" s="19" t="s">
        <v>305</v>
      </c>
      <c r="B259" s="20" t="s">
        <v>18</v>
      </c>
      <c r="C259" s="20" t="s">
        <v>9</v>
      </c>
      <c r="D259" s="20" t="s">
        <v>43</v>
      </c>
      <c r="E259" s="20">
        <v>1979</v>
      </c>
      <c r="F259" s="21">
        <v>45899</v>
      </c>
    </row>
    <row r="260" spans="1:6">
      <c r="A260" s="16" t="s">
        <v>306</v>
      </c>
      <c r="B260" s="17" t="s">
        <v>8</v>
      </c>
      <c r="C260" s="17" t="s">
        <v>16</v>
      </c>
      <c r="D260" s="17" t="s">
        <v>48</v>
      </c>
      <c r="E260" s="17">
        <v>3372</v>
      </c>
      <c r="F260" s="18">
        <v>45900</v>
      </c>
    </row>
    <row r="261" spans="1:6">
      <c r="A261" s="19" t="s">
        <v>307</v>
      </c>
      <c r="B261" s="20" t="s">
        <v>23</v>
      </c>
      <c r="C261" s="20" t="s">
        <v>19</v>
      </c>
      <c r="D261" s="20" t="s">
        <v>50</v>
      </c>
      <c r="E261" s="20">
        <v>778</v>
      </c>
      <c r="F261" s="21">
        <v>45901</v>
      </c>
    </row>
    <row r="262" spans="1:6">
      <c r="A262" s="16" t="s">
        <v>308</v>
      </c>
      <c r="B262" s="17" t="s">
        <v>23</v>
      </c>
      <c r="C262" s="17" t="s">
        <v>21</v>
      </c>
      <c r="D262" s="17" t="s">
        <v>52</v>
      </c>
      <c r="E262" s="17">
        <v>4676</v>
      </c>
      <c r="F262" s="18">
        <v>45902</v>
      </c>
    </row>
    <row r="263" spans="1:6">
      <c r="A263" s="19" t="s">
        <v>309</v>
      </c>
      <c r="B263" s="20" t="s">
        <v>28</v>
      </c>
      <c r="C263" s="20" t="s">
        <v>12</v>
      </c>
      <c r="D263" s="20" t="s">
        <v>45</v>
      </c>
      <c r="E263" s="20">
        <v>4952</v>
      </c>
      <c r="F263" s="21">
        <v>45903</v>
      </c>
    </row>
    <row r="264" spans="1:6">
      <c r="A264" s="16" t="s">
        <v>310</v>
      </c>
      <c r="B264" s="17" t="s">
        <v>28</v>
      </c>
      <c r="C264" s="17" t="s">
        <v>24</v>
      </c>
      <c r="D264" s="17" t="s">
        <v>55</v>
      </c>
      <c r="E264" s="17">
        <v>1681</v>
      </c>
      <c r="F264" s="18">
        <v>45904</v>
      </c>
    </row>
    <row r="265" spans="1:6">
      <c r="A265" s="19" t="s">
        <v>311</v>
      </c>
      <c r="B265" s="20" t="s">
        <v>8</v>
      </c>
      <c r="C265" s="20" t="s">
        <v>26</v>
      </c>
      <c r="D265" s="20" t="s">
        <v>45</v>
      </c>
      <c r="E265" s="20">
        <v>3609</v>
      </c>
      <c r="F265" s="21">
        <v>45905</v>
      </c>
    </row>
    <row r="266" spans="1:6">
      <c r="A266" s="16" t="s">
        <v>312</v>
      </c>
      <c r="B266" s="17" t="s">
        <v>15</v>
      </c>
      <c r="C266" s="17" t="s">
        <v>29</v>
      </c>
      <c r="D266" s="17" t="s">
        <v>48</v>
      </c>
      <c r="E266" s="17">
        <v>4355</v>
      </c>
      <c r="F266" s="18">
        <v>45906</v>
      </c>
    </row>
    <row r="267" spans="1:6">
      <c r="A267" s="19" t="s">
        <v>313</v>
      </c>
      <c r="B267" s="20" t="s">
        <v>18</v>
      </c>
      <c r="C267" s="20" t="s">
        <v>31</v>
      </c>
      <c r="D267" s="20" t="s">
        <v>43</v>
      </c>
      <c r="E267" s="20">
        <v>1357</v>
      </c>
      <c r="F267" s="21">
        <v>45907</v>
      </c>
    </row>
    <row r="268" spans="1:6">
      <c r="A268" s="16" t="s">
        <v>314</v>
      </c>
      <c r="B268" s="17" t="s">
        <v>23</v>
      </c>
      <c r="C268" s="17" t="s">
        <v>33</v>
      </c>
      <c r="D268" s="17" t="s">
        <v>50</v>
      </c>
      <c r="E268" s="17">
        <v>1590</v>
      </c>
      <c r="F268" s="18">
        <v>45908</v>
      </c>
    </row>
    <row r="269" spans="1:6">
      <c r="A269" s="19" t="s">
        <v>315</v>
      </c>
      <c r="B269" s="20" t="s">
        <v>28</v>
      </c>
      <c r="C269" s="20" t="s">
        <v>16</v>
      </c>
      <c r="D269" s="20" t="s">
        <v>48</v>
      </c>
      <c r="E269" s="20">
        <v>923</v>
      </c>
      <c r="F269" s="21">
        <v>45909</v>
      </c>
    </row>
    <row r="270" spans="1:6">
      <c r="A270" s="16" t="s">
        <v>316</v>
      </c>
      <c r="B270" s="17" t="s">
        <v>8</v>
      </c>
      <c r="C270" s="17" t="s">
        <v>19</v>
      </c>
      <c r="D270" s="17" t="s">
        <v>50</v>
      </c>
      <c r="E270" s="17">
        <v>1103</v>
      </c>
      <c r="F270" s="18">
        <v>45910</v>
      </c>
    </row>
    <row r="271" spans="1:6">
      <c r="A271" s="19" t="s">
        <v>317</v>
      </c>
      <c r="B271" s="20" t="s">
        <v>15</v>
      </c>
      <c r="C271" s="20" t="s">
        <v>21</v>
      </c>
      <c r="D271" s="20" t="s">
        <v>52</v>
      </c>
      <c r="E271" s="20">
        <v>4911</v>
      </c>
      <c r="F271" s="21">
        <v>45911</v>
      </c>
    </row>
    <row r="272" spans="1:6">
      <c r="A272" s="16" t="s">
        <v>318</v>
      </c>
      <c r="B272" s="17" t="s">
        <v>18</v>
      </c>
      <c r="C272" s="17" t="s">
        <v>9</v>
      </c>
      <c r="D272" s="17" t="s">
        <v>55</v>
      </c>
      <c r="E272" s="17">
        <v>1064</v>
      </c>
      <c r="F272" s="18">
        <v>45912</v>
      </c>
    </row>
    <row r="273" spans="1:6">
      <c r="A273" s="19" t="s">
        <v>319</v>
      </c>
      <c r="B273" s="20" t="s">
        <v>23</v>
      </c>
      <c r="C273" s="20" t="s">
        <v>12</v>
      </c>
      <c r="D273" s="20" t="s">
        <v>45</v>
      </c>
      <c r="E273" s="20">
        <v>4199</v>
      </c>
      <c r="F273" s="21">
        <v>45913</v>
      </c>
    </row>
    <row r="274" spans="1:6">
      <c r="A274" s="16" t="s">
        <v>320</v>
      </c>
      <c r="B274" s="17" t="s">
        <v>28</v>
      </c>
      <c r="C274" s="17" t="s">
        <v>9</v>
      </c>
      <c r="D274" s="17" t="s">
        <v>48</v>
      </c>
      <c r="E274" s="17">
        <v>1361</v>
      </c>
      <c r="F274" s="18">
        <v>45914</v>
      </c>
    </row>
    <row r="275" spans="1:6">
      <c r="A275" s="19" t="s">
        <v>321</v>
      </c>
      <c r="B275" s="20" t="s">
        <v>8</v>
      </c>
      <c r="C275" s="20" t="s">
        <v>16</v>
      </c>
      <c r="D275" s="20" t="s">
        <v>43</v>
      </c>
      <c r="E275" s="20">
        <v>2339</v>
      </c>
      <c r="F275" s="21">
        <v>45915</v>
      </c>
    </row>
    <row r="276" spans="1:6">
      <c r="A276" s="16" t="s">
        <v>322</v>
      </c>
      <c r="B276" s="17" t="s">
        <v>8</v>
      </c>
      <c r="C276" s="17" t="s">
        <v>19</v>
      </c>
      <c r="D276" s="17" t="s">
        <v>43</v>
      </c>
      <c r="E276" s="17">
        <v>4586</v>
      </c>
      <c r="F276" s="18">
        <v>45916</v>
      </c>
    </row>
    <row r="277" spans="1:6">
      <c r="A277" s="19" t="s">
        <v>323</v>
      </c>
      <c r="B277" s="20" t="s">
        <v>15</v>
      </c>
      <c r="C277" s="20" t="s">
        <v>21</v>
      </c>
      <c r="D277" s="20" t="s">
        <v>45</v>
      </c>
      <c r="E277" s="20">
        <v>1264</v>
      </c>
      <c r="F277" s="21">
        <v>45917</v>
      </c>
    </row>
    <row r="278" spans="1:6">
      <c r="A278" s="16" t="s">
        <v>324</v>
      </c>
      <c r="B278" s="17" t="s">
        <v>15</v>
      </c>
      <c r="C278" s="17" t="s">
        <v>12</v>
      </c>
      <c r="D278" s="17" t="s">
        <v>43</v>
      </c>
      <c r="E278" s="17">
        <v>1513</v>
      </c>
      <c r="F278" s="18">
        <v>45918</v>
      </c>
    </row>
    <row r="279" spans="1:6">
      <c r="A279" s="19" t="s">
        <v>325</v>
      </c>
      <c r="B279" s="20" t="s">
        <v>18</v>
      </c>
      <c r="C279" s="20" t="s">
        <v>24</v>
      </c>
      <c r="D279" s="20" t="s">
        <v>48</v>
      </c>
      <c r="E279" s="20">
        <v>3125</v>
      </c>
      <c r="F279" s="21">
        <v>45919</v>
      </c>
    </row>
    <row r="280" spans="1:6">
      <c r="A280" s="16" t="s">
        <v>326</v>
      </c>
      <c r="B280" s="17" t="s">
        <v>18</v>
      </c>
      <c r="C280" s="17" t="s">
        <v>26</v>
      </c>
      <c r="D280" s="17" t="s">
        <v>50</v>
      </c>
      <c r="E280" s="17">
        <v>536</v>
      </c>
      <c r="F280" s="18">
        <v>45920</v>
      </c>
    </row>
    <row r="281" spans="1:6">
      <c r="A281" s="19" t="s">
        <v>327</v>
      </c>
      <c r="B281" s="20" t="s">
        <v>8</v>
      </c>
      <c r="C281" s="20" t="s">
        <v>29</v>
      </c>
      <c r="D281" s="20" t="s">
        <v>52</v>
      </c>
      <c r="E281" s="20">
        <v>3207</v>
      </c>
      <c r="F281" s="21">
        <v>45921</v>
      </c>
    </row>
    <row r="282" spans="1:6">
      <c r="A282" s="16" t="s">
        <v>328</v>
      </c>
      <c r="B282" s="17" t="s">
        <v>23</v>
      </c>
      <c r="C282" s="17" t="s">
        <v>31</v>
      </c>
      <c r="D282" s="17" t="s">
        <v>45</v>
      </c>
      <c r="E282" s="17">
        <v>2469</v>
      </c>
      <c r="F282" s="18">
        <v>45922</v>
      </c>
    </row>
    <row r="283" spans="1:6">
      <c r="A283" s="19" t="s">
        <v>329</v>
      </c>
      <c r="B283" s="20" t="s">
        <v>23</v>
      </c>
      <c r="C283" s="20" t="s">
        <v>33</v>
      </c>
      <c r="D283" s="20" t="s">
        <v>55</v>
      </c>
      <c r="E283" s="20">
        <v>1320</v>
      </c>
      <c r="F283" s="21">
        <v>45923</v>
      </c>
    </row>
    <row r="284" spans="1:6">
      <c r="A284" s="16" t="s">
        <v>330</v>
      </c>
      <c r="B284" s="17" t="s">
        <v>28</v>
      </c>
      <c r="C284" s="17" t="s">
        <v>16</v>
      </c>
      <c r="D284" s="17" t="s">
        <v>45</v>
      </c>
      <c r="E284" s="17">
        <v>1603</v>
      </c>
      <c r="F284" s="18">
        <v>45924</v>
      </c>
    </row>
    <row r="285" spans="1:6">
      <c r="A285" s="19" t="s">
        <v>331</v>
      </c>
      <c r="B285" s="20" t="s">
        <v>28</v>
      </c>
      <c r="C285" s="20" t="s">
        <v>19</v>
      </c>
      <c r="D285" s="20" t="s">
        <v>48</v>
      </c>
      <c r="E285" s="20">
        <v>3343</v>
      </c>
      <c r="F285" s="21">
        <v>45925</v>
      </c>
    </row>
    <row r="286" spans="1:6">
      <c r="A286" s="16" t="s">
        <v>332</v>
      </c>
      <c r="B286" s="17" t="s">
        <v>8</v>
      </c>
      <c r="C286" s="17" t="s">
        <v>21</v>
      </c>
      <c r="D286" s="17" t="s">
        <v>43</v>
      </c>
      <c r="E286" s="17">
        <v>2260</v>
      </c>
      <c r="F286" s="18">
        <v>45926</v>
      </c>
    </row>
    <row r="287" spans="1:6">
      <c r="A287" s="19" t="s">
        <v>333</v>
      </c>
      <c r="B287" s="20" t="s">
        <v>15</v>
      </c>
      <c r="C287" s="20" t="s">
        <v>9</v>
      </c>
      <c r="D287" s="20" t="s">
        <v>43</v>
      </c>
      <c r="E287" s="20">
        <v>656</v>
      </c>
      <c r="F287" s="21">
        <v>45927</v>
      </c>
    </row>
    <row r="288" spans="1:6">
      <c r="A288" s="16" t="s">
        <v>334</v>
      </c>
      <c r="B288" s="17" t="s">
        <v>18</v>
      </c>
      <c r="C288" s="17" t="s">
        <v>12</v>
      </c>
      <c r="D288" s="17" t="s">
        <v>45</v>
      </c>
      <c r="E288" s="17">
        <v>2097</v>
      </c>
      <c r="F288" s="18">
        <v>45928</v>
      </c>
    </row>
    <row r="289" spans="1:6">
      <c r="A289" s="19" t="s">
        <v>335</v>
      </c>
      <c r="B289" s="20" t="s">
        <v>23</v>
      </c>
      <c r="C289" s="20" t="s">
        <v>9</v>
      </c>
      <c r="D289" s="20" t="s">
        <v>43</v>
      </c>
      <c r="E289" s="20">
        <v>2853</v>
      </c>
      <c r="F289" s="21">
        <v>45929</v>
      </c>
    </row>
    <row r="290" spans="1:6">
      <c r="A290" s="16" t="s">
        <v>336</v>
      </c>
      <c r="B290" s="17" t="s">
        <v>28</v>
      </c>
      <c r="C290" s="17" t="s">
        <v>16</v>
      </c>
      <c r="D290" s="17" t="s">
        <v>48</v>
      </c>
      <c r="E290" s="17">
        <v>4282</v>
      </c>
      <c r="F290" s="18">
        <v>45930</v>
      </c>
    </row>
    <row r="291" spans="1:6">
      <c r="A291" s="19" t="s">
        <v>337</v>
      </c>
      <c r="B291" s="20" t="s">
        <v>8</v>
      </c>
      <c r="C291" s="20" t="s">
        <v>19</v>
      </c>
      <c r="D291" s="20" t="s">
        <v>50</v>
      </c>
      <c r="E291" s="20">
        <v>2921</v>
      </c>
      <c r="F291" s="21">
        <v>45931</v>
      </c>
    </row>
    <row r="292" spans="1:6">
      <c r="A292" s="16" t="s">
        <v>338</v>
      </c>
      <c r="B292" s="17" t="s">
        <v>15</v>
      </c>
      <c r="C292" s="17" t="s">
        <v>21</v>
      </c>
      <c r="D292" s="17" t="s">
        <v>52</v>
      </c>
      <c r="E292" s="17">
        <v>2969</v>
      </c>
      <c r="F292" s="18">
        <v>45932</v>
      </c>
    </row>
    <row r="293" spans="1:6">
      <c r="A293" s="19" t="s">
        <v>339</v>
      </c>
      <c r="B293" s="20" t="s">
        <v>18</v>
      </c>
      <c r="C293" s="20" t="s">
        <v>12</v>
      </c>
      <c r="D293" s="20" t="s">
        <v>45</v>
      </c>
      <c r="E293" s="20">
        <v>4566</v>
      </c>
      <c r="F293" s="21">
        <v>45933</v>
      </c>
    </row>
    <row r="294" spans="1:6">
      <c r="A294" s="16" t="s">
        <v>340</v>
      </c>
      <c r="B294" s="17" t="s">
        <v>23</v>
      </c>
      <c r="C294" s="17" t="s">
        <v>24</v>
      </c>
      <c r="D294" s="17" t="s">
        <v>55</v>
      </c>
      <c r="E294" s="17">
        <v>4896</v>
      </c>
      <c r="F294" s="18">
        <v>45934</v>
      </c>
    </row>
    <row r="295" spans="1:6">
      <c r="A295" s="19" t="s">
        <v>341</v>
      </c>
      <c r="B295" s="20" t="s">
        <v>28</v>
      </c>
      <c r="C295" s="20" t="s">
        <v>26</v>
      </c>
      <c r="D295" s="20" t="s">
        <v>45</v>
      </c>
      <c r="E295" s="20">
        <v>3919</v>
      </c>
      <c r="F295" s="21">
        <v>45935</v>
      </c>
    </row>
    <row r="296" spans="1:6">
      <c r="A296" s="16" t="s">
        <v>342</v>
      </c>
      <c r="B296" s="17" t="s">
        <v>8</v>
      </c>
      <c r="C296" s="17" t="s">
        <v>29</v>
      </c>
      <c r="D296" s="17" t="s">
        <v>48</v>
      </c>
      <c r="E296" s="17">
        <v>589</v>
      </c>
      <c r="F296" s="18">
        <v>45936</v>
      </c>
    </row>
    <row r="297" spans="1:6">
      <c r="A297" s="19" t="s">
        <v>343</v>
      </c>
      <c r="B297" s="20" t="s">
        <v>8</v>
      </c>
      <c r="C297" s="20" t="s">
        <v>31</v>
      </c>
      <c r="D297" s="20" t="s">
        <v>43</v>
      </c>
      <c r="E297" s="20">
        <v>757</v>
      </c>
      <c r="F297" s="21">
        <v>45937</v>
      </c>
    </row>
    <row r="298" spans="1:6">
      <c r="A298" s="16" t="s">
        <v>344</v>
      </c>
      <c r="B298" s="17" t="s">
        <v>15</v>
      </c>
      <c r="C298" s="17" t="s">
        <v>33</v>
      </c>
      <c r="D298" s="17" t="s">
        <v>50</v>
      </c>
      <c r="E298" s="17">
        <v>4798</v>
      </c>
      <c r="F298" s="18">
        <v>45938</v>
      </c>
    </row>
    <row r="299" spans="1:6">
      <c r="A299" s="19" t="s">
        <v>345</v>
      </c>
      <c r="B299" s="20" t="s">
        <v>15</v>
      </c>
      <c r="C299" s="20" t="s">
        <v>16</v>
      </c>
      <c r="D299" s="20" t="s">
        <v>48</v>
      </c>
      <c r="E299" s="20">
        <v>1468</v>
      </c>
      <c r="F299" s="21">
        <v>45939</v>
      </c>
    </row>
    <row r="300" spans="1:6">
      <c r="A300" s="16" t="s">
        <v>346</v>
      </c>
      <c r="B300" s="17" t="s">
        <v>18</v>
      </c>
      <c r="C300" s="17" t="s">
        <v>19</v>
      </c>
      <c r="D300" s="17" t="s">
        <v>50</v>
      </c>
      <c r="E300" s="17">
        <v>1266</v>
      </c>
      <c r="F300" s="18">
        <v>45940</v>
      </c>
    </row>
    <row r="301" spans="1:6">
      <c r="A301" s="19" t="s">
        <v>347</v>
      </c>
      <c r="B301" s="20" t="s">
        <v>18</v>
      </c>
      <c r="C301" s="20" t="s">
        <v>21</v>
      </c>
      <c r="D301" s="20" t="s">
        <v>52</v>
      </c>
      <c r="E301" s="20">
        <v>3491</v>
      </c>
      <c r="F301" s="21">
        <v>45941</v>
      </c>
    </row>
    <row r="302" spans="1:6">
      <c r="A302" s="16" t="s">
        <v>348</v>
      </c>
      <c r="B302" s="17" t="s">
        <v>8</v>
      </c>
      <c r="C302" s="17" t="s">
        <v>9</v>
      </c>
      <c r="D302" s="17" t="s">
        <v>55</v>
      </c>
      <c r="E302" s="17">
        <v>1120</v>
      </c>
      <c r="F302" s="18">
        <v>45942</v>
      </c>
    </row>
    <row r="303" spans="1:6">
      <c r="A303" s="19" t="s">
        <v>349</v>
      </c>
      <c r="B303" s="20" t="s">
        <v>23</v>
      </c>
      <c r="C303" s="20" t="s">
        <v>12</v>
      </c>
      <c r="D303" s="20" t="s">
        <v>45</v>
      </c>
      <c r="E303" s="20">
        <v>4464</v>
      </c>
      <c r="F303" s="21">
        <v>45943</v>
      </c>
    </row>
    <row r="304" spans="1:6">
      <c r="A304" s="22" t="s">
        <v>350</v>
      </c>
      <c r="B304" s="23" t="s">
        <v>37</v>
      </c>
      <c r="C304" s="23" t="s">
        <v>9</v>
      </c>
      <c r="D304" s="23" t="s">
        <v>48</v>
      </c>
      <c r="E304" s="23">
        <v>669</v>
      </c>
      <c r="F304" s="24">
        <v>45944</v>
      </c>
    </row>
    <row r="305" spans="1:6">
      <c r="A305" s="22" t="s">
        <v>351</v>
      </c>
      <c r="B305" s="22" t="s">
        <v>18</v>
      </c>
      <c r="C305" s="23" t="s">
        <v>21</v>
      </c>
      <c r="D305" s="25" t="s">
        <v>45</v>
      </c>
      <c r="E305" s="10">
        <v>4005</v>
      </c>
      <c r="F305" s="4">
        <v>45955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78"/>
  <sheetViews>
    <sheetView tabSelected="1" zoomScale="80" zoomScaleNormal="80" topLeftCell="N1" workbookViewId="0">
      <selection activeCell="AI23" sqref="AI23"/>
    </sheetView>
  </sheetViews>
  <sheetFormatPr defaultColWidth="9" defaultRowHeight="14"/>
  <cols>
    <col min="1" max="1" width="12.4545454545455" customWidth="1"/>
    <col min="2" max="3" width="9.90909090909091" customWidth="1"/>
    <col min="4" max="4" width="13.5454545454545" customWidth="1"/>
    <col min="5" max="5" width="11.9090909090909" customWidth="1"/>
    <col min="6" max="6" width="7.72727272727273" customWidth="1"/>
    <col min="7" max="7" width="11.9090909090909" style="3" customWidth="1"/>
    <col min="8" max="8" width="11.9090909090909" customWidth="1"/>
    <col min="9" max="9" width="7.72727272727273" customWidth="1"/>
    <col min="10" max="10" width="14.1818181818182" customWidth="1"/>
    <col min="13" max="13" width="5.72727272727273" customWidth="1"/>
    <col min="14" max="14" width="28.0909090909091" customWidth="1"/>
    <col min="15" max="15" width="15.4545454545455" customWidth="1"/>
    <col min="16" max="18" width="8.36363636363636" customWidth="1"/>
    <col min="19" max="20" width="7.27272727272727" customWidth="1"/>
    <col min="21" max="21" width="8.36363636363636" customWidth="1"/>
    <col min="22" max="23" width="6.72727272727273" customWidth="1"/>
    <col min="24" max="24" width="14.1818181818182" customWidth="1"/>
    <col min="25" max="25" width="10.9090909090909" customWidth="1"/>
    <col min="26" max="26" width="18.5454545454545" customWidth="1"/>
    <col min="27" max="27" width="20.4545454545455" customWidth="1"/>
    <col min="28" max="28" width="10.9090909090909" customWidth="1"/>
    <col min="29" max="29" width="9.81818181818182"/>
    <col min="30" max="30" width="18.1818181818182"/>
  </cols>
  <sheetData>
    <row r="1" spans="1:30">
      <c r="A1" t="s">
        <v>38</v>
      </c>
      <c r="B1" t="s">
        <v>4</v>
      </c>
      <c r="C1" t="s">
        <v>5</v>
      </c>
      <c r="D1" t="s">
        <v>6</v>
      </c>
      <c r="E1" t="s">
        <v>7</v>
      </c>
      <c r="F1" t="s">
        <v>39</v>
      </c>
      <c r="G1" s="3" t="s">
        <v>40</v>
      </c>
      <c r="H1" t="s">
        <v>41</v>
      </c>
      <c r="I1" t="s">
        <v>352</v>
      </c>
      <c r="J1" t="s">
        <v>353</v>
      </c>
    </row>
    <row r="2" spans="1:30">
      <c r="A2" t="s">
        <v>42</v>
      </c>
      <c r="B2" t="s">
        <v>8</v>
      </c>
      <c r="C2" t="s">
        <v>9</v>
      </c>
      <c r="D2" t="s">
        <v>10</v>
      </c>
      <c r="E2" t="s">
        <v>11</v>
      </c>
      <c r="F2" t="s">
        <v>43</v>
      </c>
      <c r="G2" s="3">
        <v>2488</v>
      </c>
      <c r="H2" s="4">
        <v>45658</v>
      </c>
      <c r="I2">
        <v>1</v>
      </c>
      <c r="J2" t="s">
        <v>354</v>
      </c>
      <c r="N2" t="s">
        <v>41</v>
      </c>
      <c r="O2" t="s">
        <v>355</v>
      </c>
    </row>
    <row r="3" spans="1:30">
      <c r="A3" t="s">
        <v>44</v>
      </c>
      <c r="B3" t="s">
        <v>8</v>
      </c>
      <c r="C3" t="s">
        <v>12</v>
      </c>
      <c r="D3" t="s">
        <v>13</v>
      </c>
      <c r="E3" t="s">
        <v>14</v>
      </c>
      <c r="F3" t="s">
        <v>45</v>
      </c>
      <c r="G3" s="3">
        <v>2708</v>
      </c>
      <c r="H3" s="4">
        <v>45658</v>
      </c>
      <c r="I3">
        <v>2</v>
      </c>
      <c r="J3" t="s">
        <v>354</v>
      </c>
      <c r="N3" t="s">
        <v>5</v>
      </c>
      <c r="O3" t="s">
        <v>355</v>
      </c>
    </row>
    <row r="4" spans="1:30">
      <c r="A4" t="s">
        <v>46</v>
      </c>
      <c r="B4" t="s">
        <v>15</v>
      </c>
      <c r="C4" t="s">
        <v>9</v>
      </c>
      <c r="D4" t="s">
        <v>10</v>
      </c>
      <c r="E4" t="s">
        <v>11</v>
      </c>
      <c r="F4" t="s">
        <v>43</v>
      </c>
      <c r="G4" s="3">
        <v>3583</v>
      </c>
      <c r="H4" s="4">
        <v>45658</v>
      </c>
      <c r="I4">
        <v>3</v>
      </c>
      <c r="J4" t="s">
        <v>354</v>
      </c>
      <c r="N4" t="s">
        <v>4</v>
      </c>
      <c r="O4" t="s">
        <v>355</v>
      </c>
    </row>
    <row r="5" spans="1:30">
      <c r="A5" t="s">
        <v>47</v>
      </c>
      <c r="B5" t="s">
        <v>15</v>
      </c>
      <c r="C5" t="s">
        <v>16</v>
      </c>
      <c r="D5" t="s">
        <v>17</v>
      </c>
      <c r="E5" t="s">
        <v>14</v>
      </c>
      <c r="F5" t="s">
        <v>48</v>
      </c>
      <c r="G5" s="3">
        <v>2398</v>
      </c>
      <c r="H5" s="4">
        <v>45658</v>
      </c>
      <c r="I5">
        <v>4</v>
      </c>
      <c r="J5" t="s">
        <v>354</v>
      </c>
    </row>
    <row r="6" spans="1:30">
      <c r="A6" t="s">
        <v>49</v>
      </c>
      <c r="B6" t="s">
        <v>18</v>
      </c>
      <c r="C6" t="s">
        <v>19</v>
      </c>
      <c r="D6" t="s">
        <v>20</v>
      </c>
      <c r="E6" t="s">
        <v>14</v>
      </c>
      <c r="F6" t="s">
        <v>50</v>
      </c>
      <c r="G6" s="3">
        <v>3355</v>
      </c>
      <c r="H6" s="4">
        <v>45658</v>
      </c>
      <c r="I6">
        <v>5</v>
      </c>
      <c r="J6" t="s">
        <v>354</v>
      </c>
      <c r="N6" t="s">
        <v>356</v>
      </c>
      <c r="O6" t="s">
        <v>357</v>
      </c>
      <c r="X6" t="s">
        <v>358</v>
      </c>
      <c r="Y6" t="s">
        <v>359</v>
      </c>
      <c r="Z6" t="s">
        <v>360</v>
      </c>
      <c r="AB6" t="s">
        <v>358</v>
      </c>
      <c r="AC6" t="s">
        <v>359</v>
      </c>
    </row>
    <row r="7" spans="1:30">
      <c r="A7" t="s">
        <v>51</v>
      </c>
      <c r="B7" t="s">
        <v>18</v>
      </c>
      <c r="C7" t="s">
        <v>21</v>
      </c>
      <c r="D7" t="s">
        <v>22</v>
      </c>
      <c r="E7" t="s">
        <v>14</v>
      </c>
      <c r="F7" t="s">
        <v>52</v>
      </c>
      <c r="G7" s="3">
        <v>3455</v>
      </c>
      <c r="H7" s="4">
        <v>45658</v>
      </c>
      <c r="I7">
        <v>6</v>
      </c>
      <c r="J7" t="s">
        <v>354</v>
      </c>
      <c r="N7" t="s">
        <v>358</v>
      </c>
      <c r="O7" t="s">
        <v>43</v>
      </c>
      <c r="P7" t="s">
        <v>45</v>
      </c>
      <c r="Q7" t="s">
        <v>48</v>
      </c>
      <c r="R7" t="s">
        <v>52</v>
      </c>
      <c r="S7" t="s">
        <v>55</v>
      </c>
      <c r="T7" t="s">
        <v>50</v>
      </c>
      <c r="U7" t="s">
        <v>361</v>
      </c>
      <c r="X7" s="5" t="s">
        <v>10</v>
      </c>
      <c r="Y7" s="6">
        <v>110733</v>
      </c>
      <c r="Z7" s="7">
        <v>0.997991584905292</v>
      </c>
      <c r="AA7" s="7"/>
      <c r="AB7" s="5" t="s">
        <v>11</v>
      </c>
      <c r="AC7" s="6">
        <v>225772</v>
      </c>
    </row>
    <row r="8" spans="1:30">
      <c r="A8" t="s">
        <v>53</v>
      </c>
      <c r="B8" t="s">
        <v>8</v>
      </c>
      <c r="C8" t="s">
        <v>12</v>
      </c>
      <c r="D8" t="s">
        <v>13</v>
      </c>
      <c r="E8" t="s">
        <v>14</v>
      </c>
      <c r="F8" t="s">
        <v>45</v>
      </c>
      <c r="G8" s="3">
        <v>1058</v>
      </c>
      <c r="H8" s="4">
        <v>45659</v>
      </c>
      <c r="I8">
        <v>7</v>
      </c>
      <c r="J8" t="s">
        <v>354</v>
      </c>
      <c r="N8" s="5" t="s">
        <v>11</v>
      </c>
      <c r="O8" s="6"/>
      <c r="P8" s="6"/>
      <c r="Q8" s="6"/>
      <c r="R8" s="6"/>
      <c r="S8" s="6"/>
      <c r="T8" s="6"/>
      <c r="U8" s="6"/>
      <c r="X8" s="5" t="s">
        <v>20</v>
      </c>
      <c r="Y8" s="6">
        <v>104466</v>
      </c>
      <c r="Z8" s="7">
        <v>0.965047398981642</v>
      </c>
      <c r="AA8" s="7"/>
      <c r="AB8" s="5" t="s">
        <v>14</v>
      </c>
      <c r="AC8" s="6">
        <v>596256</v>
      </c>
    </row>
    <row r="9" spans="1:30">
      <c r="A9" t="s">
        <v>54</v>
      </c>
      <c r="B9" t="s">
        <v>23</v>
      </c>
      <c r="C9" t="s">
        <v>24</v>
      </c>
      <c r="D9" t="s">
        <v>25</v>
      </c>
      <c r="E9" t="s">
        <v>14</v>
      </c>
      <c r="F9" t="s">
        <v>55</v>
      </c>
      <c r="G9" s="3">
        <v>1052</v>
      </c>
      <c r="H9" s="4">
        <v>45659</v>
      </c>
      <c r="I9">
        <v>8</v>
      </c>
      <c r="J9" t="s">
        <v>354</v>
      </c>
      <c r="N9" s="8" t="s">
        <v>10</v>
      </c>
      <c r="O9" s="6">
        <v>26254</v>
      </c>
      <c r="P9" s="6">
        <v>21816</v>
      </c>
      <c r="Q9" s="6">
        <v>22706</v>
      </c>
      <c r="R9" s="6">
        <v>18685</v>
      </c>
      <c r="S9" s="6">
        <v>11115</v>
      </c>
      <c r="T9" s="6">
        <v>10157</v>
      </c>
      <c r="U9" s="6">
        <v>110733</v>
      </c>
      <c r="X9" s="5" t="s">
        <v>17</v>
      </c>
      <c r="Y9" s="6">
        <v>114000</v>
      </c>
      <c r="Z9" s="7">
        <v>1.05312162314923</v>
      </c>
      <c r="AA9" s="7"/>
      <c r="AB9" s="5" t="s">
        <v>362</v>
      </c>
      <c r="AC9" s="6">
        <v>669</v>
      </c>
    </row>
    <row r="10" spans="1:30">
      <c r="A10" t="s">
        <v>56</v>
      </c>
      <c r="B10" t="s">
        <v>23</v>
      </c>
      <c r="C10" t="s">
        <v>26</v>
      </c>
      <c r="D10" t="s">
        <v>27</v>
      </c>
      <c r="E10" t="s">
        <v>11</v>
      </c>
      <c r="F10" t="s">
        <v>45</v>
      </c>
      <c r="G10" s="3">
        <v>2250</v>
      </c>
      <c r="H10" s="4">
        <v>45659</v>
      </c>
      <c r="I10">
        <v>9</v>
      </c>
      <c r="J10" t="s">
        <v>354</v>
      </c>
      <c r="N10" s="8" t="s">
        <v>27</v>
      </c>
      <c r="O10" s="6">
        <v>7862</v>
      </c>
      <c r="P10" s="6">
        <v>15760</v>
      </c>
      <c r="Q10" s="6">
        <v>6426</v>
      </c>
      <c r="R10" s="6">
        <v>13084</v>
      </c>
      <c r="S10" s="6">
        <v>4433</v>
      </c>
      <c r="T10" s="6">
        <v>7164</v>
      </c>
      <c r="U10" s="6">
        <v>54729</v>
      </c>
      <c r="X10" s="5" t="s">
        <v>27</v>
      </c>
      <c r="Y10" s="6">
        <v>54729</v>
      </c>
      <c r="Z10" s="7">
        <v>1.01116304058481</v>
      </c>
      <c r="AA10" s="7"/>
      <c r="AB10" s="5" t="s">
        <v>363</v>
      </c>
      <c r="AC10" s="6"/>
    </row>
    <row r="11" spans="1:30">
      <c r="A11" t="s">
        <v>57</v>
      </c>
      <c r="B11" t="s">
        <v>28</v>
      </c>
      <c r="C11" t="s">
        <v>29</v>
      </c>
      <c r="D11" t="s">
        <v>30</v>
      </c>
      <c r="E11" t="s">
        <v>11</v>
      </c>
      <c r="F11" t="s">
        <v>48</v>
      </c>
      <c r="G11" s="3">
        <v>4405</v>
      </c>
      <c r="H11" s="4">
        <v>45659</v>
      </c>
      <c r="I11">
        <v>10</v>
      </c>
      <c r="J11" t="s">
        <v>354</v>
      </c>
      <c r="N11" s="8" t="s">
        <v>30</v>
      </c>
      <c r="O11" s="6">
        <v>14620</v>
      </c>
      <c r="P11" s="6">
        <v>11801</v>
      </c>
      <c r="Q11" s="6">
        <v>21972</v>
      </c>
      <c r="R11" s="6">
        <v>7355</v>
      </c>
      <c r="S11" s="6">
        <v>4562</v>
      </c>
      <c r="T11" s="6"/>
      <c r="U11" s="6">
        <v>60310</v>
      </c>
      <c r="X11" s="5" t="s">
        <v>13</v>
      </c>
      <c r="Y11" s="6">
        <v>119380</v>
      </c>
      <c r="Z11" s="7">
        <v>1.07592348627775</v>
      </c>
      <c r="AA11" s="7"/>
      <c r="AB11" s="5" t="s">
        <v>361</v>
      </c>
      <c r="AC11" s="6">
        <v>822697</v>
      </c>
    </row>
    <row r="12" spans="1:30">
      <c r="A12" t="s">
        <v>58</v>
      </c>
      <c r="B12" t="s">
        <v>28</v>
      </c>
      <c r="C12" t="s">
        <v>31</v>
      </c>
      <c r="D12" t="s">
        <v>32</v>
      </c>
      <c r="E12" t="s">
        <v>14</v>
      </c>
      <c r="F12" t="s">
        <v>43</v>
      </c>
      <c r="G12" s="3">
        <v>933</v>
      </c>
      <c r="H12" s="4">
        <v>45659</v>
      </c>
      <c r="I12">
        <v>11</v>
      </c>
      <c r="J12" t="s">
        <v>354</v>
      </c>
      <c r="N12" s="5" t="s">
        <v>14</v>
      </c>
      <c r="O12" s="6"/>
      <c r="P12" s="6"/>
      <c r="Q12" s="6"/>
      <c r="R12" s="6"/>
      <c r="S12" s="6"/>
      <c r="T12" s="6"/>
      <c r="U12" s="6"/>
      <c r="X12" s="5" t="s">
        <v>30</v>
      </c>
      <c r="Y12" s="6">
        <v>60310</v>
      </c>
      <c r="Z12" s="7">
        <v>1.11427658056368</v>
      </c>
      <c r="AA12" s="7"/>
    </row>
    <row r="13" spans="1:30">
      <c r="A13" t="s">
        <v>59</v>
      </c>
      <c r="B13" t="s">
        <v>8</v>
      </c>
      <c r="C13" t="s">
        <v>33</v>
      </c>
      <c r="D13" t="s">
        <v>34</v>
      </c>
      <c r="E13" t="s">
        <v>14</v>
      </c>
      <c r="F13" t="s">
        <v>50</v>
      </c>
      <c r="G13" s="3">
        <v>3127</v>
      </c>
      <c r="H13" s="4">
        <v>45660</v>
      </c>
      <c r="I13">
        <v>12</v>
      </c>
      <c r="J13" t="s">
        <v>354</v>
      </c>
      <c r="N13" s="8" t="s">
        <v>20</v>
      </c>
      <c r="O13" s="6">
        <v>24926</v>
      </c>
      <c r="P13" s="6">
        <v>24667</v>
      </c>
      <c r="Q13" s="6">
        <v>15797</v>
      </c>
      <c r="R13" s="6"/>
      <c r="S13" s="6">
        <v>10808</v>
      </c>
      <c r="T13" s="6">
        <v>28268</v>
      </c>
      <c r="U13" s="6">
        <v>104466</v>
      </c>
      <c r="X13" s="5" t="s">
        <v>32</v>
      </c>
      <c r="Y13" s="6">
        <v>44493</v>
      </c>
      <c r="Z13" s="7">
        <v>0.822044568048747</v>
      </c>
      <c r="AA13" s="7"/>
    </row>
    <row r="14" spans="1:30">
      <c r="A14" t="s">
        <v>60</v>
      </c>
      <c r="B14" t="s">
        <v>15</v>
      </c>
      <c r="C14" t="s">
        <v>16</v>
      </c>
      <c r="D14" t="s">
        <v>17</v>
      </c>
      <c r="E14" t="s">
        <v>14</v>
      </c>
      <c r="F14" t="s">
        <v>48</v>
      </c>
      <c r="G14" s="3">
        <v>1546</v>
      </c>
      <c r="H14" s="4">
        <v>45660</v>
      </c>
      <c r="I14">
        <v>13</v>
      </c>
      <c r="J14" t="s">
        <v>354</v>
      </c>
      <c r="N14" s="8" t="s">
        <v>17</v>
      </c>
      <c r="O14" s="6">
        <v>27818</v>
      </c>
      <c r="P14" s="6">
        <v>22359</v>
      </c>
      <c r="Q14" s="6">
        <v>47114</v>
      </c>
      <c r="R14" s="6">
        <v>7339</v>
      </c>
      <c r="S14" s="6">
        <v>9370</v>
      </c>
      <c r="T14" s="6"/>
      <c r="U14" s="6">
        <v>114000</v>
      </c>
      <c r="X14" s="5" t="s">
        <v>362</v>
      </c>
      <c r="Y14" s="6">
        <v>669</v>
      </c>
      <c r="Z14" s="7">
        <v>0.247206444170819</v>
      </c>
      <c r="AA14" s="7"/>
    </row>
    <row r="15" spans="1:30">
      <c r="A15" t="s">
        <v>61</v>
      </c>
      <c r="B15" t="s">
        <v>18</v>
      </c>
      <c r="C15" t="s">
        <v>19</v>
      </c>
      <c r="D15" t="s">
        <v>20</v>
      </c>
      <c r="E15" t="s">
        <v>14</v>
      </c>
      <c r="F15" t="s">
        <v>50</v>
      </c>
      <c r="G15" s="3">
        <v>3343</v>
      </c>
      <c r="H15" s="4">
        <v>45660</v>
      </c>
      <c r="I15">
        <v>14</v>
      </c>
      <c r="J15" t="s">
        <v>354</v>
      </c>
      <c r="N15" s="8" t="s">
        <v>13</v>
      </c>
      <c r="O15" s="6">
        <v>30522</v>
      </c>
      <c r="P15" s="6">
        <v>41796</v>
      </c>
      <c r="Q15" s="6">
        <v>20140</v>
      </c>
      <c r="R15" s="6">
        <v>4677</v>
      </c>
      <c r="S15" s="6">
        <v>11847</v>
      </c>
      <c r="T15" s="6">
        <v>10398</v>
      </c>
      <c r="U15" s="6">
        <v>119380</v>
      </c>
      <c r="X15" s="5" t="s">
        <v>22</v>
      </c>
      <c r="Y15" s="6">
        <v>111438</v>
      </c>
      <c r="Z15" s="7">
        <v>1.00434546376126</v>
      </c>
      <c r="AA15" s="7"/>
    </row>
    <row r="16" spans="1:30">
      <c r="A16" t="s">
        <v>62</v>
      </c>
      <c r="B16" t="s">
        <v>23</v>
      </c>
      <c r="C16" t="s">
        <v>21</v>
      </c>
      <c r="D16" t="s">
        <v>22</v>
      </c>
      <c r="E16" t="s">
        <v>14</v>
      </c>
      <c r="F16" t="s">
        <v>52</v>
      </c>
      <c r="G16" s="3">
        <v>3528</v>
      </c>
      <c r="H16" s="4">
        <v>45660</v>
      </c>
      <c r="I16">
        <v>15</v>
      </c>
      <c r="J16" t="s">
        <v>354</v>
      </c>
      <c r="N16" s="8" t="s">
        <v>32</v>
      </c>
      <c r="O16" s="6">
        <v>9442</v>
      </c>
      <c r="P16" s="6">
        <v>14293</v>
      </c>
      <c r="Q16" s="6">
        <v>4474</v>
      </c>
      <c r="R16" s="6"/>
      <c r="S16" s="6">
        <v>8201</v>
      </c>
      <c r="T16" s="6">
        <v>8083</v>
      </c>
      <c r="U16" s="6">
        <v>44493</v>
      </c>
      <c r="X16" s="5" t="s">
        <v>25</v>
      </c>
      <c r="Y16" s="6">
        <v>54472</v>
      </c>
      <c r="Z16" s="7">
        <v>1.00641475537166</v>
      </c>
      <c r="AA16" s="7"/>
      <c r="AC16" t="s">
        <v>358</v>
      </c>
      <c r="AD16" t="s">
        <v>359</v>
      </c>
    </row>
    <row r="17" spans="1:30">
      <c r="A17" t="s">
        <v>63</v>
      </c>
      <c r="B17" t="s">
        <v>28</v>
      </c>
      <c r="C17" t="s">
        <v>9</v>
      </c>
      <c r="D17" t="s">
        <v>10</v>
      </c>
      <c r="E17" t="s">
        <v>11</v>
      </c>
      <c r="F17" t="s">
        <v>55</v>
      </c>
      <c r="G17" s="3">
        <v>2756</v>
      </c>
      <c r="H17" s="4">
        <v>45660</v>
      </c>
      <c r="I17">
        <v>16</v>
      </c>
      <c r="J17" t="s">
        <v>354</v>
      </c>
      <c r="N17" s="8" t="s">
        <v>22</v>
      </c>
      <c r="O17" s="6">
        <v>18720</v>
      </c>
      <c r="P17" s="6">
        <v>20994</v>
      </c>
      <c r="Q17" s="6">
        <v>7093</v>
      </c>
      <c r="R17" s="6">
        <v>42692</v>
      </c>
      <c r="S17" s="6">
        <v>6166</v>
      </c>
      <c r="T17" s="6">
        <v>11768</v>
      </c>
      <c r="U17" s="6">
        <v>107433</v>
      </c>
      <c r="X17" s="5" t="s">
        <v>34</v>
      </c>
      <c r="Y17" s="6">
        <v>48007</v>
      </c>
      <c r="Z17" s="7">
        <v>0.886968592324999</v>
      </c>
      <c r="AA17" s="7"/>
      <c r="AC17" s="9" t="s">
        <v>43</v>
      </c>
      <c r="AD17">
        <v>183906</v>
      </c>
    </row>
    <row r="18" spans="1:30">
      <c r="A18" t="s">
        <v>64</v>
      </c>
      <c r="B18" t="s">
        <v>8</v>
      </c>
      <c r="C18" t="s">
        <v>12</v>
      </c>
      <c r="D18" t="s">
        <v>13</v>
      </c>
      <c r="E18" t="s">
        <v>14</v>
      </c>
      <c r="F18" t="s">
        <v>45</v>
      </c>
      <c r="G18" s="3">
        <v>4851</v>
      </c>
      <c r="H18" s="4">
        <v>45661</v>
      </c>
      <c r="I18">
        <v>17</v>
      </c>
      <c r="J18" t="s">
        <v>354</v>
      </c>
      <c r="N18" s="8" t="s">
        <v>25</v>
      </c>
      <c r="O18" s="6">
        <v>14180</v>
      </c>
      <c r="P18" s="6">
        <v>12535</v>
      </c>
      <c r="Q18" s="6">
        <v>8463</v>
      </c>
      <c r="R18" s="6"/>
      <c r="S18" s="6">
        <v>9561</v>
      </c>
      <c r="T18" s="6">
        <v>9733</v>
      </c>
      <c r="U18" s="6">
        <v>54472</v>
      </c>
      <c r="X18" s="5" t="s">
        <v>363</v>
      </c>
      <c r="Y18" s="6"/>
      <c r="Z18" s="7">
        <v>0</v>
      </c>
      <c r="AA18" s="7"/>
      <c r="AC18" s="9" t="s">
        <v>45</v>
      </c>
      <c r="AD18">
        <v>200812</v>
      </c>
    </row>
    <row r="19" spans="1:30">
      <c r="A19" t="s">
        <v>65</v>
      </c>
      <c r="B19" t="s">
        <v>15</v>
      </c>
      <c r="C19" t="s">
        <v>9</v>
      </c>
      <c r="D19" t="s">
        <v>10</v>
      </c>
      <c r="E19" t="s">
        <v>11</v>
      </c>
      <c r="F19" t="s">
        <v>48</v>
      </c>
      <c r="G19" s="3">
        <v>1806</v>
      </c>
      <c r="H19" s="4">
        <v>45661</v>
      </c>
      <c r="I19">
        <v>18</v>
      </c>
      <c r="J19" t="s">
        <v>354</v>
      </c>
      <c r="N19" s="8" t="s">
        <v>34</v>
      </c>
      <c r="O19" s="6">
        <v>9562</v>
      </c>
      <c r="P19" s="6">
        <v>10786</v>
      </c>
      <c r="Q19" s="6">
        <v>3019</v>
      </c>
      <c r="R19" s="6">
        <v>9031</v>
      </c>
      <c r="S19" s="6">
        <v>4038</v>
      </c>
      <c r="T19" s="6">
        <v>11571</v>
      </c>
      <c r="U19" s="6">
        <v>48007</v>
      </c>
      <c r="X19" s="5" t="s">
        <v>361</v>
      </c>
      <c r="Y19" s="6">
        <v>822697</v>
      </c>
      <c r="Z19" s="7">
        <v>1</v>
      </c>
      <c r="AA19" s="7"/>
      <c r="AC19" s="9" t="s">
        <v>48</v>
      </c>
      <c r="AD19">
        <v>157873</v>
      </c>
    </row>
    <row r="20" spans="1:30">
      <c r="A20" t="s">
        <v>66</v>
      </c>
      <c r="B20" t="s">
        <v>18</v>
      </c>
      <c r="C20" t="s">
        <v>16</v>
      </c>
      <c r="D20" t="s">
        <v>17</v>
      </c>
      <c r="E20" t="s">
        <v>14</v>
      </c>
      <c r="F20" t="s">
        <v>43</v>
      </c>
      <c r="G20" s="3">
        <v>1762</v>
      </c>
      <c r="H20" s="4">
        <v>45661</v>
      </c>
      <c r="I20">
        <v>19</v>
      </c>
      <c r="J20" t="s">
        <v>354</v>
      </c>
      <c r="N20" s="5" t="s">
        <v>362</v>
      </c>
      <c r="O20" s="6"/>
      <c r="P20" s="6"/>
      <c r="Q20" s="6"/>
      <c r="R20" s="6"/>
      <c r="S20" s="6"/>
      <c r="T20" s="6"/>
      <c r="U20" s="6"/>
      <c r="AC20" s="9" t="s">
        <v>52</v>
      </c>
      <c r="AD20">
        <v>102863</v>
      </c>
    </row>
    <row r="21" spans="1:30">
      <c r="A21" t="s">
        <v>67</v>
      </c>
      <c r="B21" t="s">
        <v>23</v>
      </c>
      <c r="C21" t="s">
        <v>19</v>
      </c>
      <c r="D21" t="s">
        <v>20</v>
      </c>
      <c r="E21" t="s">
        <v>14</v>
      </c>
      <c r="F21" t="s">
        <v>43</v>
      </c>
      <c r="G21" s="3">
        <v>571</v>
      </c>
      <c r="H21" s="4">
        <v>45661</v>
      </c>
      <c r="I21">
        <v>20</v>
      </c>
      <c r="J21" t="s">
        <v>354</v>
      </c>
      <c r="N21" s="8" t="s">
        <v>362</v>
      </c>
      <c r="O21" s="6"/>
      <c r="P21" s="6"/>
      <c r="Q21" s="6">
        <v>669</v>
      </c>
      <c r="R21" s="6"/>
      <c r="S21" s="6"/>
      <c r="T21" s="6"/>
      <c r="U21" s="6">
        <v>669</v>
      </c>
      <c r="AC21" s="9" t="s">
        <v>55</v>
      </c>
      <c r="AD21">
        <v>80101</v>
      </c>
    </row>
    <row r="22" spans="1:30">
      <c r="A22" t="s">
        <v>68</v>
      </c>
      <c r="B22" t="s">
        <v>28</v>
      </c>
      <c r="C22" t="s">
        <v>21</v>
      </c>
      <c r="D22" t="s">
        <v>22</v>
      </c>
      <c r="E22" t="s">
        <v>14</v>
      </c>
      <c r="F22" t="s">
        <v>45</v>
      </c>
      <c r="G22" s="3">
        <v>1403</v>
      </c>
      <c r="H22" s="4">
        <v>45662</v>
      </c>
      <c r="I22">
        <v>21</v>
      </c>
      <c r="J22" t="s">
        <v>354</v>
      </c>
      <c r="N22" s="5" t="s">
        <v>361</v>
      </c>
      <c r="O22" s="6">
        <v>183906</v>
      </c>
      <c r="P22" s="6">
        <v>196807</v>
      </c>
      <c r="Q22" s="6">
        <v>157873</v>
      </c>
      <c r="R22" s="6">
        <v>102863</v>
      </c>
      <c r="S22" s="6">
        <v>80101</v>
      </c>
      <c r="T22" s="6">
        <v>97142</v>
      </c>
      <c r="U22" s="6">
        <v>818692</v>
      </c>
      <c r="AC22" s="9" t="s">
        <v>50</v>
      </c>
      <c r="AD22">
        <v>97142</v>
      </c>
    </row>
    <row r="23" spans="1:30">
      <c r="A23" t="s">
        <v>69</v>
      </c>
      <c r="B23" t="s">
        <v>8</v>
      </c>
      <c r="C23" t="s">
        <v>12</v>
      </c>
      <c r="D23" t="s">
        <v>13</v>
      </c>
      <c r="E23" t="s">
        <v>14</v>
      </c>
      <c r="F23" t="s">
        <v>43</v>
      </c>
      <c r="G23" s="3">
        <v>4931</v>
      </c>
      <c r="H23" s="4">
        <v>45663</v>
      </c>
      <c r="I23">
        <v>22</v>
      </c>
      <c r="J23" t="s">
        <v>354</v>
      </c>
      <c r="AC23" s="9" t="s">
        <v>363</v>
      </c>
    </row>
    <row r="24" spans="1:30">
      <c r="A24" t="s">
        <v>70</v>
      </c>
      <c r="B24" t="s">
        <v>8</v>
      </c>
      <c r="C24" t="s">
        <v>24</v>
      </c>
      <c r="D24" t="s">
        <v>25</v>
      </c>
      <c r="E24" t="s">
        <v>14</v>
      </c>
      <c r="F24" t="s">
        <v>48</v>
      </c>
      <c r="G24" s="3">
        <v>3565</v>
      </c>
      <c r="H24" s="4">
        <v>45664</v>
      </c>
      <c r="I24">
        <v>23</v>
      </c>
      <c r="J24" t="s">
        <v>354</v>
      </c>
      <c r="AC24" s="9" t="s">
        <v>361</v>
      </c>
      <c r="AD24">
        <v>822697</v>
      </c>
    </row>
    <row r="25" spans="1:30">
      <c r="A25" t="s">
        <v>71</v>
      </c>
      <c r="B25" t="s">
        <v>15</v>
      </c>
      <c r="C25" t="s">
        <v>26</v>
      </c>
      <c r="D25" t="s">
        <v>27</v>
      </c>
      <c r="E25" t="s">
        <v>11</v>
      </c>
      <c r="F25" t="s">
        <v>50</v>
      </c>
      <c r="G25" s="3">
        <v>2555</v>
      </c>
      <c r="H25" s="4">
        <v>45665</v>
      </c>
      <c r="I25">
        <v>24</v>
      </c>
      <c r="J25" t="s">
        <v>354</v>
      </c>
    </row>
    <row r="26" spans="1:30">
      <c r="A26" t="s">
        <v>72</v>
      </c>
      <c r="B26" t="s">
        <v>15</v>
      </c>
      <c r="C26" t="s">
        <v>29</v>
      </c>
      <c r="D26" t="s">
        <v>30</v>
      </c>
      <c r="E26" t="s">
        <v>11</v>
      </c>
      <c r="F26" t="s">
        <v>52</v>
      </c>
      <c r="G26" s="3">
        <v>4148</v>
      </c>
      <c r="H26" s="4">
        <v>45666</v>
      </c>
      <c r="I26">
        <v>25</v>
      </c>
      <c r="J26" t="s">
        <v>354</v>
      </c>
      <c r="N26" s="10" t="s">
        <v>364</v>
      </c>
      <c r="O26" s="11">
        <f>SUM(G:G)</f>
        <v>822697</v>
      </c>
    </row>
    <row r="27" spans="1:30">
      <c r="A27" t="s">
        <v>73</v>
      </c>
      <c r="B27" t="s">
        <v>18</v>
      </c>
      <c r="C27" t="s">
        <v>31</v>
      </c>
      <c r="D27" t="s">
        <v>32</v>
      </c>
      <c r="E27" t="s">
        <v>14</v>
      </c>
      <c r="F27" t="s">
        <v>45</v>
      </c>
      <c r="G27" s="3">
        <v>1670</v>
      </c>
      <c r="H27" s="4">
        <v>45667</v>
      </c>
      <c r="I27">
        <v>26</v>
      </c>
      <c r="J27" t="s">
        <v>354</v>
      </c>
    </row>
    <row r="28" spans="1:30">
      <c r="A28" t="s">
        <v>74</v>
      </c>
      <c r="B28" t="s">
        <v>18</v>
      </c>
      <c r="C28" t="s">
        <v>33</v>
      </c>
      <c r="D28" t="s">
        <v>34</v>
      </c>
      <c r="E28" t="s">
        <v>14</v>
      </c>
      <c r="F28" t="s">
        <v>55</v>
      </c>
      <c r="G28" s="3">
        <v>2718</v>
      </c>
      <c r="H28" s="4">
        <v>45668</v>
      </c>
      <c r="I28">
        <v>27</v>
      </c>
      <c r="J28" t="s">
        <v>354</v>
      </c>
      <c r="N28" s="12" t="s">
        <v>43</v>
      </c>
      <c r="O28" s="11">
        <f>SUMIFS(G:G,F:F,N28)</f>
        <v>183906</v>
      </c>
    </row>
    <row r="29" spans="1:30">
      <c r="A29" t="s">
        <v>75</v>
      </c>
      <c r="B29" t="s">
        <v>8</v>
      </c>
      <c r="C29" t="s">
        <v>16</v>
      </c>
      <c r="D29" t="s">
        <v>17</v>
      </c>
      <c r="E29" t="s">
        <v>14</v>
      </c>
      <c r="F29" t="s">
        <v>45</v>
      </c>
      <c r="G29" s="3">
        <v>3288</v>
      </c>
      <c r="H29" s="4">
        <v>45669</v>
      </c>
      <c r="I29">
        <v>28</v>
      </c>
      <c r="J29" t="s">
        <v>354</v>
      </c>
      <c r="N29" s="12" t="s">
        <v>45</v>
      </c>
      <c r="O29" s="11">
        <f t="shared" ref="O29:O33" si="0">SUMIFS(G:G,F:F,N29)</f>
        <v>200812</v>
      </c>
    </row>
    <row r="30" spans="1:30">
      <c r="A30" t="s">
        <v>76</v>
      </c>
      <c r="B30" t="s">
        <v>23</v>
      </c>
      <c r="C30" t="s">
        <v>19</v>
      </c>
      <c r="D30" t="s">
        <v>20</v>
      </c>
      <c r="E30" t="s">
        <v>14</v>
      </c>
      <c r="F30" t="s">
        <v>48</v>
      </c>
      <c r="G30" s="3">
        <v>946</v>
      </c>
      <c r="H30" s="4">
        <v>45670</v>
      </c>
      <c r="I30">
        <v>29</v>
      </c>
      <c r="J30" t="s">
        <v>354</v>
      </c>
      <c r="N30" s="12" t="s">
        <v>48</v>
      </c>
      <c r="O30" s="11">
        <f t="shared" si="0"/>
        <v>157873</v>
      </c>
      <c r="Y30" t="s">
        <v>358</v>
      </c>
      <c r="Z30" t="s">
        <v>359</v>
      </c>
    </row>
    <row r="31" spans="1:30">
      <c r="A31" t="s">
        <v>77</v>
      </c>
      <c r="B31" t="s">
        <v>23</v>
      </c>
      <c r="C31" t="s">
        <v>21</v>
      </c>
      <c r="D31" t="s">
        <v>22</v>
      </c>
      <c r="E31" t="s">
        <v>14</v>
      </c>
      <c r="F31" t="s">
        <v>43</v>
      </c>
      <c r="G31" s="3">
        <v>2787</v>
      </c>
      <c r="H31" s="4">
        <v>45671</v>
      </c>
      <c r="I31">
        <v>30</v>
      </c>
      <c r="J31" t="s">
        <v>354</v>
      </c>
      <c r="N31" s="12" t="s">
        <v>50</v>
      </c>
      <c r="O31" s="11">
        <f t="shared" si="0"/>
        <v>97142</v>
      </c>
      <c r="Y31" s="5" t="s">
        <v>365</v>
      </c>
      <c r="Z31" s="6"/>
      <c r="AA31" s="6"/>
    </row>
    <row r="32" spans="1:30">
      <c r="A32" t="s">
        <v>78</v>
      </c>
      <c r="B32" t="s">
        <v>28</v>
      </c>
      <c r="C32" t="s">
        <v>9</v>
      </c>
      <c r="D32" t="s">
        <v>10</v>
      </c>
      <c r="E32" t="s">
        <v>11</v>
      </c>
      <c r="F32" t="s">
        <v>43</v>
      </c>
      <c r="G32" s="3">
        <v>1760</v>
      </c>
      <c r="H32" s="4">
        <v>45672</v>
      </c>
      <c r="I32">
        <v>31</v>
      </c>
      <c r="J32" t="s">
        <v>354</v>
      </c>
      <c r="N32" s="12" t="s">
        <v>52</v>
      </c>
      <c r="O32" s="11">
        <f t="shared" si="0"/>
        <v>102863</v>
      </c>
      <c r="Y32" s="5" t="s">
        <v>366</v>
      </c>
      <c r="Z32" s="6">
        <v>118032</v>
      </c>
      <c r="AA32" s="6"/>
    </row>
    <row r="33" spans="1:27">
      <c r="A33" t="s">
        <v>79</v>
      </c>
      <c r="B33" t="s">
        <v>28</v>
      </c>
      <c r="C33" t="s">
        <v>12</v>
      </c>
      <c r="D33" t="s">
        <v>13</v>
      </c>
      <c r="E33" t="s">
        <v>14</v>
      </c>
      <c r="F33" t="s">
        <v>45</v>
      </c>
      <c r="G33" s="3">
        <v>887</v>
      </c>
      <c r="H33" s="4">
        <v>45673</v>
      </c>
      <c r="I33">
        <v>32</v>
      </c>
      <c r="J33" t="s">
        <v>354</v>
      </c>
      <c r="N33" s="12" t="s">
        <v>55</v>
      </c>
      <c r="O33" s="11">
        <f t="shared" si="0"/>
        <v>80101</v>
      </c>
      <c r="Y33" s="5" t="s">
        <v>367</v>
      </c>
      <c r="Z33" s="6">
        <v>78738</v>
      </c>
      <c r="AA33" s="6"/>
    </row>
    <row r="34" spans="1:27">
      <c r="A34" t="s">
        <v>80</v>
      </c>
      <c r="B34" t="s">
        <v>8</v>
      </c>
      <c r="C34" t="s">
        <v>9</v>
      </c>
      <c r="D34" t="s">
        <v>10</v>
      </c>
      <c r="E34" t="s">
        <v>11</v>
      </c>
      <c r="F34" t="s">
        <v>43</v>
      </c>
      <c r="G34" s="3">
        <v>3945</v>
      </c>
      <c r="H34" s="4">
        <v>45674</v>
      </c>
      <c r="I34">
        <v>33</v>
      </c>
      <c r="J34" t="s">
        <v>354</v>
      </c>
      <c r="Y34" s="5" t="s">
        <v>368</v>
      </c>
      <c r="Z34" s="6">
        <v>93117</v>
      </c>
      <c r="AA34" s="6"/>
    </row>
    <row r="35" spans="1:27">
      <c r="A35" t="s">
        <v>81</v>
      </c>
      <c r="B35" t="s">
        <v>15</v>
      </c>
      <c r="C35" t="s">
        <v>16</v>
      </c>
      <c r="D35" t="s">
        <v>17</v>
      </c>
      <c r="E35" t="s">
        <v>14</v>
      </c>
      <c r="F35" t="s">
        <v>48</v>
      </c>
      <c r="G35" s="3">
        <v>2847</v>
      </c>
      <c r="H35" s="4">
        <v>45675</v>
      </c>
      <c r="I35">
        <v>34</v>
      </c>
      <c r="J35" t="s">
        <v>354</v>
      </c>
      <c r="N35" s="12" t="s">
        <v>7</v>
      </c>
      <c r="Y35" s="5" t="s">
        <v>369</v>
      </c>
      <c r="Z35" s="6">
        <v>83406</v>
      </c>
      <c r="AA35" s="6"/>
    </row>
    <row r="36" spans="1:27">
      <c r="A36" t="s">
        <v>82</v>
      </c>
      <c r="B36" t="s">
        <v>18</v>
      </c>
      <c r="C36" t="s">
        <v>19</v>
      </c>
      <c r="D36" t="s">
        <v>20</v>
      </c>
      <c r="E36" t="s">
        <v>14</v>
      </c>
      <c r="F36" t="s">
        <v>50</v>
      </c>
      <c r="G36" s="3">
        <v>3936</v>
      </c>
      <c r="H36" s="4">
        <v>45676</v>
      </c>
      <c r="I36">
        <v>35</v>
      </c>
      <c r="J36" t="s">
        <v>354</v>
      </c>
      <c r="N36" s="12" t="s">
        <v>11</v>
      </c>
      <c r="O36" s="11">
        <f>SUMIFS(G:G,E:E,N36)</f>
        <v>225772</v>
      </c>
      <c r="Y36" s="5" t="s">
        <v>370</v>
      </c>
      <c r="Z36" s="6">
        <v>82540</v>
      </c>
      <c r="AA36" s="6"/>
    </row>
    <row r="37" spans="1:27">
      <c r="A37" t="s">
        <v>83</v>
      </c>
      <c r="B37" t="s">
        <v>23</v>
      </c>
      <c r="C37" t="s">
        <v>21</v>
      </c>
      <c r="D37" t="s">
        <v>22</v>
      </c>
      <c r="E37" t="s">
        <v>14</v>
      </c>
      <c r="F37" t="s">
        <v>52</v>
      </c>
      <c r="G37" s="3">
        <v>4921</v>
      </c>
      <c r="H37" s="4">
        <v>45677</v>
      </c>
      <c r="I37">
        <v>36</v>
      </c>
      <c r="J37" t="s">
        <v>354</v>
      </c>
      <c r="N37" s="12" t="s">
        <v>14</v>
      </c>
      <c r="O37" s="11">
        <f>SUMIFS(G:G,E:E,N37)</f>
        <v>596256</v>
      </c>
      <c r="Y37" s="5" t="s">
        <v>371</v>
      </c>
      <c r="Z37" s="6">
        <v>75942</v>
      </c>
      <c r="AA37" s="6"/>
    </row>
    <row r="38" spans="1:27">
      <c r="A38" t="s">
        <v>84</v>
      </c>
      <c r="B38" t="s">
        <v>28</v>
      </c>
      <c r="C38" t="s">
        <v>12</v>
      </c>
      <c r="D38" t="s">
        <v>13</v>
      </c>
      <c r="E38" t="s">
        <v>14</v>
      </c>
      <c r="F38" t="s">
        <v>45</v>
      </c>
      <c r="G38" s="3">
        <v>2405</v>
      </c>
      <c r="H38" s="4">
        <v>45678</v>
      </c>
      <c r="I38">
        <v>37</v>
      </c>
      <c r="J38" t="s">
        <v>354</v>
      </c>
      <c r="Y38" s="5" t="s">
        <v>372</v>
      </c>
      <c r="Z38" s="6">
        <v>85629</v>
      </c>
      <c r="AA38" s="6"/>
    </row>
    <row r="39" spans="1:27">
      <c r="A39" t="s">
        <v>85</v>
      </c>
      <c r="B39" t="s">
        <v>8</v>
      </c>
      <c r="C39" t="s">
        <v>24</v>
      </c>
      <c r="D39" t="s">
        <v>25</v>
      </c>
      <c r="E39" t="s">
        <v>14</v>
      </c>
      <c r="F39" t="s">
        <v>55</v>
      </c>
      <c r="G39" s="3">
        <v>1932</v>
      </c>
      <c r="H39" s="4">
        <v>45679</v>
      </c>
      <c r="I39">
        <v>38</v>
      </c>
      <c r="J39" t="s">
        <v>354</v>
      </c>
      <c r="Y39" s="5" t="s">
        <v>373</v>
      </c>
      <c r="Z39" s="6">
        <v>89383</v>
      </c>
      <c r="AA39" s="6"/>
    </row>
    <row r="40" spans="1:27">
      <c r="A40" t="s">
        <v>86</v>
      </c>
      <c r="B40" t="s">
        <v>15</v>
      </c>
      <c r="C40" t="s">
        <v>26</v>
      </c>
      <c r="D40" t="s">
        <v>27</v>
      </c>
      <c r="E40" t="s">
        <v>11</v>
      </c>
      <c r="F40" t="s">
        <v>45</v>
      </c>
      <c r="G40" s="3">
        <v>1512</v>
      </c>
      <c r="H40" s="4">
        <v>45680</v>
      </c>
      <c r="I40">
        <v>39</v>
      </c>
      <c r="J40" t="s">
        <v>354</v>
      </c>
      <c r="Y40" s="5" t="s">
        <v>374</v>
      </c>
      <c r="Z40" s="6">
        <v>74012</v>
      </c>
      <c r="AA40" s="6"/>
    </row>
    <row r="41" spans="1:27">
      <c r="A41" t="s">
        <v>87</v>
      </c>
      <c r="B41" t="s">
        <v>18</v>
      </c>
      <c r="C41" t="s">
        <v>29</v>
      </c>
      <c r="D41" t="s">
        <v>30</v>
      </c>
      <c r="E41" t="s">
        <v>11</v>
      </c>
      <c r="F41" t="s">
        <v>48</v>
      </c>
      <c r="G41" s="3">
        <v>4735</v>
      </c>
      <c r="H41" s="4">
        <v>45681</v>
      </c>
      <c r="I41">
        <v>40</v>
      </c>
      <c r="J41" t="s">
        <v>354</v>
      </c>
      <c r="Y41" s="5" t="s">
        <v>375</v>
      </c>
      <c r="Z41" s="6">
        <v>41898</v>
      </c>
      <c r="AA41" s="6"/>
    </row>
    <row r="42" spans="1:27">
      <c r="A42" t="s">
        <v>88</v>
      </c>
      <c r="B42" t="s">
        <v>23</v>
      </c>
      <c r="C42" t="s">
        <v>31</v>
      </c>
      <c r="D42" t="s">
        <v>32</v>
      </c>
      <c r="E42" t="s">
        <v>14</v>
      </c>
      <c r="F42" t="s">
        <v>43</v>
      </c>
      <c r="G42" s="3">
        <v>626</v>
      </c>
      <c r="H42" s="4">
        <v>45682</v>
      </c>
      <c r="I42">
        <v>41</v>
      </c>
      <c r="J42" t="s">
        <v>354</v>
      </c>
      <c r="Y42" s="5" t="s">
        <v>361</v>
      </c>
      <c r="Z42" s="6">
        <v>822697</v>
      </c>
      <c r="AA42" s="6"/>
    </row>
    <row r="43" spans="1:27">
      <c r="A43" t="s">
        <v>89</v>
      </c>
      <c r="B43" t="s">
        <v>28</v>
      </c>
      <c r="C43" t="s">
        <v>33</v>
      </c>
      <c r="D43" t="s">
        <v>34</v>
      </c>
      <c r="E43" t="s">
        <v>14</v>
      </c>
      <c r="F43" t="s">
        <v>50</v>
      </c>
      <c r="G43" s="3">
        <v>512</v>
      </c>
      <c r="H43" s="4">
        <v>45683</v>
      </c>
      <c r="I43">
        <v>42</v>
      </c>
      <c r="J43" t="s">
        <v>354</v>
      </c>
    </row>
    <row r="44" spans="1:27">
      <c r="A44" t="s">
        <v>90</v>
      </c>
      <c r="B44" t="s">
        <v>8</v>
      </c>
      <c r="C44" t="s">
        <v>16</v>
      </c>
      <c r="D44" t="s">
        <v>17</v>
      </c>
      <c r="E44" t="s">
        <v>14</v>
      </c>
      <c r="F44" t="s">
        <v>48</v>
      </c>
      <c r="G44" s="3">
        <v>1118</v>
      </c>
      <c r="H44" s="4">
        <v>45684</v>
      </c>
      <c r="I44">
        <v>43</v>
      </c>
      <c r="J44" t="s">
        <v>354</v>
      </c>
    </row>
    <row r="45" spans="1:27">
      <c r="A45" t="s">
        <v>91</v>
      </c>
      <c r="B45" t="s">
        <v>8</v>
      </c>
      <c r="C45" t="s">
        <v>19</v>
      </c>
      <c r="D45" t="s">
        <v>20</v>
      </c>
      <c r="E45" t="s">
        <v>14</v>
      </c>
      <c r="F45" t="s">
        <v>50</v>
      </c>
      <c r="G45" s="3">
        <v>557</v>
      </c>
      <c r="H45" s="4">
        <v>45685</v>
      </c>
      <c r="I45">
        <v>44</v>
      </c>
      <c r="J45" t="s">
        <v>354</v>
      </c>
    </row>
    <row r="46" spans="1:27">
      <c r="A46" t="s">
        <v>92</v>
      </c>
      <c r="B46" t="s">
        <v>15</v>
      </c>
      <c r="C46" t="s">
        <v>21</v>
      </c>
      <c r="D46" t="s">
        <v>22</v>
      </c>
      <c r="E46" t="s">
        <v>14</v>
      </c>
      <c r="F46" t="s">
        <v>52</v>
      </c>
      <c r="G46" s="3">
        <v>4638</v>
      </c>
      <c r="H46" s="4">
        <v>45686</v>
      </c>
      <c r="I46">
        <v>45</v>
      </c>
      <c r="J46" t="s">
        <v>354</v>
      </c>
    </row>
    <row r="47" spans="1:27">
      <c r="A47" t="s">
        <v>93</v>
      </c>
      <c r="B47" t="s">
        <v>15</v>
      </c>
      <c r="C47" t="s">
        <v>9</v>
      </c>
      <c r="D47" t="s">
        <v>10</v>
      </c>
      <c r="E47" t="s">
        <v>11</v>
      </c>
      <c r="F47" t="s">
        <v>55</v>
      </c>
      <c r="G47" s="3">
        <v>2045</v>
      </c>
      <c r="H47" s="4">
        <v>45687</v>
      </c>
      <c r="I47">
        <v>46</v>
      </c>
      <c r="J47" t="s">
        <v>354</v>
      </c>
    </row>
    <row r="48" spans="1:27">
      <c r="A48" t="s">
        <v>94</v>
      </c>
      <c r="B48" t="s">
        <v>18</v>
      </c>
      <c r="C48" t="s">
        <v>12</v>
      </c>
      <c r="D48" t="s">
        <v>13</v>
      </c>
      <c r="E48" t="s">
        <v>14</v>
      </c>
      <c r="F48" t="s">
        <v>45</v>
      </c>
      <c r="G48" s="3">
        <v>670</v>
      </c>
      <c r="H48" s="4">
        <v>45688</v>
      </c>
      <c r="I48">
        <v>47</v>
      </c>
      <c r="J48" t="s">
        <v>354</v>
      </c>
    </row>
    <row r="49" spans="1:10">
      <c r="A49" t="s">
        <v>95</v>
      </c>
      <c r="B49" t="s">
        <v>18</v>
      </c>
      <c r="C49" t="s">
        <v>9</v>
      </c>
      <c r="D49" t="s">
        <v>10</v>
      </c>
      <c r="E49" t="s">
        <v>11</v>
      </c>
      <c r="F49" t="s">
        <v>48</v>
      </c>
      <c r="G49" s="3">
        <v>975</v>
      </c>
      <c r="H49" s="4">
        <v>45689</v>
      </c>
      <c r="I49">
        <v>48</v>
      </c>
      <c r="J49" t="s">
        <v>354</v>
      </c>
    </row>
    <row r="50" spans="1:10">
      <c r="A50" t="s">
        <v>96</v>
      </c>
      <c r="B50" t="s">
        <v>8</v>
      </c>
      <c r="C50" t="s">
        <v>16</v>
      </c>
      <c r="D50" t="s">
        <v>17</v>
      </c>
      <c r="E50" t="s">
        <v>14</v>
      </c>
      <c r="F50" t="s">
        <v>43</v>
      </c>
      <c r="G50" s="3">
        <v>2467</v>
      </c>
      <c r="H50" s="4">
        <v>45690</v>
      </c>
      <c r="I50">
        <v>49</v>
      </c>
      <c r="J50" t="s">
        <v>354</v>
      </c>
    </row>
    <row r="51" spans="1:10">
      <c r="A51" t="s">
        <v>97</v>
      </c>
      <c r="B51" t="s">
        <v>23</v>
      </c>
      <c r="C51" t="s">
        <v>19</v>
      </c>
      <c r="D51" t="s">
        <v>20</v>
      </c>
      <c r="E51" t="s">
        <v>14</v>
      </c>
      <c r="F51" t="s">
        <v>43</v>
      </c>
      <c r="G51" s="3">
        <v>2999</v>
      </c>
      <c r="H51" s="4">
        <v>45691</v>
      </c>
      <c r="I51">
        <v>50</v>
      </c>
      <c r="J51" t="s">
        <v>354</v>
      </c>
    </row>
    <row r="52" spans="1:10">
      <c r="A52" t="s">
        <v>98</v>
      </c>
      <c r="B52" t="s">
        <v>23</v>
      </c>
      <c r="C52" t="s">
        <v>21</v>
      </c>
      <c r="D52" t="s">
        <v>22</v>
      </c>
      <c r="E52" t="s">
        <v>14</v>
      </c>
      <c r="F52" t="s">
        <v>45</v>
      </c>
      <c r="G52" s="3">
        <v>2749</v>
      </c>
      <c r="H52" s="4">
        <v>45692</v>
      </c>
      <c r="I52">
        <v>51</v>
      </c>
      <c r="J52" t="s">
        <v>354</v>
      </c>
    </row>
    <row r="53" spans="1:10">
      <c r="A53" t="s">
        <v>99</v>
      </c>
      <c r="B53" t="s">
        <v>28</v>
      </c>
      <c r="C53" t="s">
        <v>12</v>
      </c>
      <c r="D53" t="s">
        <v>13</v>
      </c>
      <c r="E53" t="s">
        <v>14</v>
      </c>
      <c r="F53" t="s">
        <v>43</v>
      </c>
      <c r="G53" s="3">
        <v>4546</v>
      </c>
      <c r="H53" s="4">
        <v>45693</v>
      </c>
      <c r="I53">
        <v>52</v>
      </c>
      <c r="J53" t="s">
        <v>354</v>
      </c>
    </row>
    <row r="54" spans="1:10">
      <c r="A54" t="s">
        <v>100</v>
      </c>
      <c r="B54" t="s">
        <v>28</v>
      </c>
      <c r="C54" t="s">
        <v>24</v>
      </c>
      <c r="D54" t="s">
        <v>25</v>
      </c>
      <c r="E54" t="s">
        <v>14</v>
      </c>
      <c r="F54" t="s">
        <v>45</v>
      </c>
      <c r="G54" s="3">
        <v>2107</v>
      </c>
      <c r="H54" s="4">
        <v>45694</v>
      </c>
      <c r="I54">
        <v>53</v>
      </c>
      <c r="J54" t="s">
        <v>354</v>
      </c>
    </row>
    <row r="55" spans="1:10">
      <c r="A55" t="s">
        <v>101</v>
      </c>
      <c r="B55" t="s">
        <v>8</v>
      </c>
      <c r="C55" t="s">
        <v>26</v>
      </c>
      <c r="D55" t="s">
        <v>27</v>
      </c>
      <c r="E55" t="s">
        <v>11</v>
      </c>
      <c r="F55" t="s">
        <v>43</v>
      </c>
      <c r="G55" s="3">
        <v>510</v>
      </c>
      <c r="H55" s="4">
        <v>45695</v>
      </c>
      <c r="I55">
        <v>54</v>
      </c>
      <c r="J55" t="s">
        <v>354</v>
      </c>
    </row>
    <row r="56" spans="1:10">
      <c r="A56" t="s">
        <v>102</v>
      </c>
      <c r="B56" t="s">
        <v>15</v>
      </c>
      <c r="C56" t="s">
        <v>29</v>
      </c>
      <c r="D56" t="s">
        <v>30</v>
      </c>
      <c r="E56" t="s">
        <v>11</v>
      </c>
      <c r="F56" t="s">
        <v>48</v>
      </c>
      <c r="G56" s="3">
        <v>1059</v>
      </c>
      <c r="H56" s="4">
        <v>45696</v>
      </c>
      <c r="I56">
        <v>55</v>
      </c>
      <c r="J56" t="s">
        <v>354</v>
      </c>
    </row>
    <row r="57" spans="1:10">
      <c r="A57" t="s">
        <v>103</v>
      </c>
      <c r="B57" t="s">
        <v>18</v>
      </c>
      <c r="C57" t="s">
        <v>31</v>
      </c>
      <c r="D57" t="s">
        <v>32</v>
      </c>
      <c r="E57" t="s">
        <v>14</v>
      </c>
      <c r="F57" t="s">
        <v>50</v>
      </c>
      <c r="G57" s="3">
        <v>1614</v>
      </c>
      <c r="H57" s="4">
        <v>45697</v>
      </c>
      <c r="I57">
        <v>56</v>
      </c>
      <c r="J57" t="s">
        <v>354</v>
      </c>
    </row>
    <row r="58" spans="1:10">
      <c r="A58" t="s">
        <v>104</v>
      </c>
      <c r="B58" t="s">
        <v>23</v>
      </c>
      <c r="C58" t="s">
        <v>33</v>
      </c>
      <c r="D58" t="s">
        <v>34</v>
      </c>
      <c r="E58" t="s">
        <v>14</v>
      </c>
      <c r="F58" t="s">
        <v>52</v>
      </c>
      <c r="G58" s="3">
        <v>1830</v>
      </c>
      <c r="H58" s="4">
        <v>45698</v>
      </c>
      <c r="I58">
        <v>57</v>
      </c>
      <c r="J58" t="s">
        <v>354</v>
      </c>
    </row>
    <row r="59" spans="1:10">
      <c r="A59" t="s">
        <v>105</v>
      </c>
      <c r="B59" t="s">
        <v>28</v>
      </c>
      <c r="C59" t="s">
        <v>16</v>
      </c>
      <c r="D59" t="s">
        <v>17</v>
      </c>
      <c r="E59" t="s">
        <v>14</v>
      </c>
      <c r="F59" t="s">
        <v>45</v>
      </c>
      <c r="G59" s="3">
        <v>4815</v>
      </c>
      <c r="H59" s="4">
        <v>45699</v>
      </c>
      <c r="I59">
        <v>58</v>
      </c>
      <c r="J59" t="s">
        <v>354</v>
      </c>
    </row>
    <row r="60" spans="1:10">
      <c r="A60" t="s">
        <v>106</v>
      </c>
      <c r="B60" t="s">
        <v>8</v>
      </c>
      <c r="C60" t="s">
        <v>19</v>
      </c>
      <c r="D60" t="s">
        <v>20</v>
      </c>
      <c r="E60" t="s">
        <v>14</v>
      </c>
      <c r="F60" t="s">
        <v>55</v>
      </c>
      <c r="G60" s="3">
        <v>776</v>
      </c>
      <c r="H60" s="4">
        <v>45700</v>
      </c>
      <c r="I60">
        <v>59</v>
      </c>
      <c r="J60" t="s">
        <v>354</v>
      </c>
    </row>
    <row r="61" spans="1:10">
      <c r="A61" t="s">
        <v>107</v>
      </c>
      <c r="B61" t="s">
        <v>15</v>
      </c>
      <c r="C61" t="s">
        <v>21</v>
      </c>
      <c r="D61" t="s">
        <v>22</v>
      </c>
      <c r="E61" t="s">
        <v>14</v>
      </c>
      <c r="F61" t="s">
        <v>45</v>
      </c>
      <c r="G61" s="3">
        <v>2140</v>
      </c>
      <c r="H61" s="4">
        <v>45701</v>
      </c>
      <c r="I61">
        <v>60</v>
      </c>
      <c r="J61" t="s">
        <v>354</v>
      </c>
    </row>
    <row r="62" spans="1:10">
      <c r="A62" t="s">
        <v>108</v>
      </c>
      <c r="B62" t="s">
        <v>18</v>
      </c>
      <c r="C62" t="s">
        <v>9</v>
      </c>
      <c r="D62" t="s">
        <v>10</v>
      </c>
      <c r="E62" t="s">
        <v>11</v>
      </c>
      <c r="F62" t="s">
        <v>48</v>
      </c>
      <c r="G62" s="3">
        <v>4106</v>
      </c>
      <c r="H62" s="4">
        <v>45702</v>
      </c>
      <c r="I62">
        <v>61</v>
      </c>
      <c r="J62" t="s">
        <v>354</v>
      </c>
    </row>
    <row r="63" spans="1:10">
      <c r="A63" t="s">
        <v>109</v>
      </c>
      <c r="B63" t="s">
        <v>23</v>
      </c>
      <c r="C63" t="s">
        <v>12</v>
      </c>
      <c r="D63" t="s">
        <v>13</v>
      </c>
      <c r="E63" t="s">
        <v>14</v>
      </c>
      <c r="F63" t="s">
        <v>43</v>
      </c>
      <c r="G63" s="3">
        <v>1988</v>
      </c>
      <c r="H63" s="4">
        <v>45703</v>
      </c>
      <c r="I63">
        <v>62</v>
      </c>
      <c r="J63" t="s">
        <v>354</v>
      </c>
    </row>
    <row r="64" spans="1:10">
      <c r="A64" t="s">
        <v>110</v>
      </c>
      <c r="B64" t="s">
        <v>28</v>
      </c>
      <c r="C64" t="s">
        <v>9</v>
      </c>
      <c r="D64" t="s">
        <v>10</v>
      </c>
      <c r="E64" t="s">
        <v>11</v>
      </c>
      <c r="F64" t="s">
        <v>50</v>
      </c>
      <c r="G64" s="3">
        <v>2687</v>
      </c>
      <c r="H64" s="4">
        <v>45704</v>
      </c>
      <c r="I64">
        <v>63</v>
      </c>
      <c r="J64" t="s">
        <v>354</v>
      </c>
    </row>
    <row r="65" spans="1:10">
      <c r="A65" t="s">
        <v>111</v>
      </c>
      <c r="B65" t="s">
        <v>8</v>
      </c>
      <c r="C65" t="s">
        <v>16</v>
      </c>
      <c r="D65" t="s">
        <v>17</v>
      </c>
      <c r="E65" t="s">
        <v>14</v>
      </c>
      <c r="F65" t="s">
        <v>48</v>
      </c>
      <c r="G65" s="3">
        <v>3599</v>
      </c>
      <c r="H65" s="4">
        <v>45705</v>
      </c>
      <c r="I65">
        <v>64</v>
      </c>
      <c r="J65" t="s">
        <v>354</v>
      </c>
    </row>
    <row r="66" spans="1:10">
      <c r="A66" t="s">
        <v>112</v>
      </c>
      <c r="B66" t="s">
        <v>8</v>
      </c>
      <c r="C66" t="s">
        <v>19</v>
      </c>
      <c r="D66" t="s">
        <v>20</v>
      </c>
      <c r="E66" t="s">
        <v>14</v>
      </c>
      <c r="F66" t="s">
        <v>50</v>
      </c>
      <c r="G66" s="3">
        <v>2733</v>
      </c>
      <c r="H66" s="4">
        <v>45706</v>
      </c>
      <c r="I66">
        <v>65</v>
      </c>
      <c r="J66" t="s">
        <v>354</v>
      </c>
    </row>
    <row r="67" spans="1:10">
      <c r="A67" t="s">
        <v>113</v>
      </c>
      <c r="B67" t="s">
        <v>15</v>
      </c>
      <c r="C67" t="s">
        <v>21</v>
      </c>
      <c r="D67" t="s">
        <v>22</v>
      </c>
      <c r="E67" t="s">
        <v>14</v>
      </c>
      <c r="F67" t="s">
        <v>52</v>
      </c>
      <c r="G67" s="3">
        <v>2908</v>
      </c>
      <c r="H67" s="4">
        <v>45707</v>
      </c>
      <c r="I67">
        <v>66</v>
      </c>
      <c r="J67" t="s">
        <v>354</v>
      </c>
    </row>
    <row r="68" spans="1:10">
      <c r="A68" t="s">
        <v>114</v>
      </c>
      <c r="B68" t="s">
        <v>15</v>
      </c>
      <c r="C68" t="s">
        <v>12</v>
      </c>
      <c r="D68" t="s">
        <v>13</v>
      </c>
      <c r="E68" t="s">
        <v>14</v>
      </c>
      <c r="F68" t="s">
        <v>55</v>
      </c>
      <c r="G68" s="3">
        <v>4626</v>
      </c>
      <c r="H68" s="4">
        <v>45708</v>
      </c>
      <c r="I68">
        <v>67</v>
      </c>
      <c r="J68" t="s">
        <v>354</v>
      </c>
    </row>
    <row r="69" spans="1:10">
      <c r="A69" t="s">
        <v>115</v>
      </c>
      <c r="B69" t="s">
        <v>18</v>
      </c>
      <c r="C69" t="s">
        <v>24</v>
      </c>
      <c r="D69" t="s">
        <v>25</v>
      </c>
      <c r="E69" t="s">
        <v>14</v>
      </c>
      <c r="F69" t="s">
        <v>45</v>
      </c>
      <c r="G69" s="3">
        <v>4025</v>
      </c>
      <c r="H69" s="4">
        <v>45709</v>
      </c>
      <c r="I69">
        <v>68</v>
      </c>
      <c r="J69" t="s">
        <v>354</v>
      </c>
    </row>
    <row r="70" spans="1:10">
      <c r="A70" t="s">
        <v>116</v>
      </c>
      <c r="B70" t="s">
        <v>18</v>
      </c>
      <c r="C70" t="s">
        <v>26</v>
      </c>
      <c r="D70" t="s">
        <v>27</v>
      </c>
      <c r="E70" t="s">
        <v>11</v>
      </c>
      <c r="F70" t="s">
        <v>48</v>
      </c>
      <c r="G70" s="3">
        <v>3464</v>
      </c>
      <c r="H70" s="4">
        <v>45710</v>
      </c>
      <c r="I70">
        <v>69</v>
      </c>
      <c r="J70" t="s">
        <v>354</v>
      </c>
    </row>
    <row r="71" spans="1:10">
      <c r="A71" t="s">
        <v>117</v>
      </c>
      <c r="B71" t="s">
        <v>8</v>
      </c>
      <c r="C71" t="s">
        <v>29</v>
      </c>
      <c r="D71" t="s">
        <v>30</v>
      </c>
      <c r="E71" t="s">
        <v>11</v>
      </c>
      <c r="F71" t="s">
        <v>43</v>
      </c>
      <c r="G71" s="3">
        <v>996</v>
      </c>
      <c r="H71" s="4">
        <v>45711</v>
      </c>
      <c r="I71">
        <v>70</v>
      </c>
      <c r="J71" t="s">
        <v>354</v>
      </c>
    </row>
    <row r="72" spans="1:10">
      <c r="A72" t="s">
        <v>118</v>
      </c>
      <c r="B72" t="s">
        <v>23</v>
      </c>
      <c r="C72" t="s">
        <v>31</v>
      </c>
      <c r="D72" t="s">
        <v>32</v>
      </c>
      <c r="E72" t="s">
        <v>14</v>
      </c>
      <c r="F72" t="s">
        <v>43</v>
      </c>
      <c r="G72" s="3">
        <v>3782</v>
      </c>
      <c r="H72" s="4">
        <v>45712</v>
      </c>
      <c r="I72">
        <v>71</v>
      </c>
      <c r="J72" t="s">
        <v>354</v>
      </c>
    </row>
    <row r="73" spans="1:10">
      <c r="A73" t="s">
        <v>119</v>
      </c>
      <c r="B73" t="s">
        <v>23</v>
      </c>
      <c r="C73" t="s">
        <v>33</v>
      </c>
      <c r="D73" t="s">
        <v>34</v>
      </c>
      <c r="E73" t="s">
        <v>14</v>
      </c>
      <c r="F73" t="s">
        <v>45</v>
      </c>
      <c r="G73" s="3">
        <v>2340</v>
      </c>
      <c r="H73" s="4">
        <v>45713</v>
      </c>
      <c r="I73">
        <v>72</v>
      </c>
      <c r="J73" t="s">
        <v>354</v>
      </c>
    </row>
    <row r="74" spans="1:10">
      <c r="A74" t="s">
        <v>120</v>
      </c>
      <c r="B74" t="s">
        <v>28</v>
      </c>
      <c r="C74" t="s">
        <v>16</v>
      </c>
      <c r="D74" t="s">
        <v>17</v>
      </c>
      <c r="E74" t="s">
        <v>14</v>
      </c>
      <c r="F74" t="s">
        <v>43</v>
      </c>
      <c r="G74" s="3">
        <v>4576</v>
      </c>
      <c r="H74" s="4">
        <v>45714</v>
      </c>
      <c r="I74">
        <v>73</v>
      </c>
      <c r="J74" t="s">
        <v>354</v>
      </c>
    </row>
    <row r="75" spans="1:10">
      <c r="A75" t="s">
        <v>121</v>
      </c>
      <c r="B75" t="s">
        <v>28</v>
      </c>
      <c r="C75" t="s">
        <v>19</v>
      </c>
      <c r="D75" t="s">
        <v>20</v>
      </c>
      <c r="E75" t="s">
        <v>14</v>
      </c>
      <c r="F75" t="s">
        <v>48</v>
      </c>
      <c r="G75" s="3">
        <v>3683</v>
      </c>
      <c r="H75" s="4">
        <v>45715</v>
      </c>
      <c r="I75">
        <v>74</v>
      </c>
      <c r="J75" t="s">
        <v>354</v>
      </c>
    </row>
    <row r="76" spans="1:10">
      <c r="A76" t="s">
        <v>122</v>
      </c>
      <c r="B76" t="s">
        <v>8</v>
      </c>
      <c r="C76" t="s">
        <v>21</v>
      </c>
      <c r="D76" t="s">
        <v>22</v>
      </c>
      <c r="E76" t="s">
        <v>14</v>
      </c>
      <c r="F76" t="s">
        <v>50</v>
      </c>
      <c r="G76" s="3">
        <v>4638</v>
      </c>
      <c r="H76" s="4">
        <v>45716</v>
      </c>
      <c r="I76">
        <v>75</v>
      </c>
      <c r="J76" t="s">
        <v>354</v>
      </c>
    </row>
    <row r="77" spans="1:10">
      <c r="A77" t="s">
        <v>123</v>
      </c>
      <c r="B77" t="s">
        <v>15</v>
      </c>
      <c r="C77" t="s">
        <v>9</v>
      </c>
      <c r="D77" t="s">
        <v>10</v>
      </c>
      <c r="E77" t="s">
        <v>11</v>
      </c>
      <c r="F77" t="s">
        <v>52</v>
      </c>
      <c r="G77" s="3">
        <v>4969</v>
      </c>
      <c r="H77" s="4">
        <v>45717</v>
      </c>
      <c r="I77">
        <v>76</v>
      </c>
      <c r="J77" t="s">
        <v>354</v>
      </c>
    </row>
    <row r="78" spans="1:10">
      <c r="A78" t="s">
        <v>124</v>
      </c>
      <c r="B78" t="s">
        <v>18</v>
      </c>
      <c r="C78" t="s">
        <v>12</v>
      </c>
      <c r="D78" t="s">
        <v>13</v>
      </c>
      <c r="E78" t="s">
        <v>14</v>
      </c>
      <c r="F78" t="s">
        <v>45</v>
      </c>
      <c r="G78" s="3">
        <v>4285</v>
      </c>
      <c r="H78" s="4">
        <v>45718</v>
      </c>
      <c r="I78">
        <v>77</v>
      </c>
      <c r="J78" t="s">
        <v>354</v>
      </c>
    </row>
    <row r="79" spans="1:10">
      <c r="A79" t="s">
        <v>125</v>
      </c>
      <c r="B79" t="s">
        <v>23</v>
      </c>
      <c r="C79" t="s">
        <v>9</v>
      </c>
      <c r="D79" t="s">
        <v>10</v>
      </c>
      <c r="E79" t="s">
        <v>11</v>
      </c>
      <c r="F79" t="s">
        <v>55</v>
      </c>
      <c r="G79" s="3">
        <v>4130</v>
      </c>
      <c r="H79" s="4">
        <v>45719</v>
      </c>
      <c r="I79">
        <v>78</v>
      </c>
      <c r="J79" t="s">
        <v>354</v>
      </c>
    </row>
    <row r="80" spans="1:10">
      <c r="A80" t="s">
        <v>126</v>
      </c>
      <c r="B80" t="s">
        <v>28</v>
      </c>
      <c r="C80" t="s">
        <v>16</v>
      </c>
      <c r="D80" t="s">
        <v>17</v>
      </c>
      <c r="E80" t="s">
        <v>14</v>
      </c>
      <c r="F80" t="s">
        <v>45</v>
      </c>
      <c r="G80" s="3">
        <v>3593</v>
      </c>
      <c r="H80" s="4">
        <v>45720</v>
      </c>
      <c r="I80">
        <v>79</v>
      </c>
      <c r="J80" t="s">
        <v>354</v>
      </c>
    </row>
    <row r="81" spans="1:10">
      <c r="A81" t="s">
        <v>127</v>
      </c>
      <c r="B81" t="s">
        <v>8</v>
      </c>
      <c r="C81" t="s">
        <v>19</v>
      </c>
      <c r="D81" t="s">
        <v>20</v>
      </c>
      <c r="E81" t="s">
        <v>14</v>
      </c>
      <c r="F81" t="s">
        <v>48</v>
      </c>
      <c r="G81" s="3">
        <v>3763</v>
      </c>
      <c r="H81" s="4">
        <v>45721</v>
      </c>
      <c r="I81">
        <v>80</v>
      </c>
      <c r="J81" t="s">
        <v>354</v>
      </c>
    </row>
    <row r="82" spans="1:10">
      <c r="A82" t="s">
        <v>128</v>
      </c>
      <c r="B82" t="s">
        <v>15</v>
      </c>
      <c r="C82" t="s">
        <v>21</v>
      </c>
      <c r="D82" t="s">
        <v>22</v>
      </c>
      <c r="E82" t="s">
        <v>14</v>
      </c>
      <c r="F82" t="s">
        <v>43</v>
      </c>
      <c r="G82" s="3">
        <v>3181</v>
      </c>
      <c r="H82" s="4">
        <v>45722</v>
      </c>
      <c r="I82">
        <v>81</v>
      </c>
      <c r="J82" t="s">
        <v>354</v>
      </c>
    </row>
    <row r="83" spans="1:10">
      <c r="A83" t="s">
        <v>129</v>
      </c>
      <c r="B83" t="s">
        <v>18</v>
      </c>
      <c r="C83" t="s">
        <v>12</v>
      </c>
      <c r="D83" t="s">
        <v>13</v>
      </c>
      <c r="E83" t="s">
        <v>14</v>
      </c>
      <c r="F83" t="s">
        <v>43</v>
      </c>
      <c r="G83" s="3">
        <v>2078</v>
      </c>
      <c r="H83" s="4">
        <v>45723</v>
      </c>
      <c r="I83">
        <v>82</v>
      </c>
      <c r="J83" t="s">
        <v>354</v>
      </c>
    </row>
    <row r="84" spans="1:10">
      <c r="A84" t="s">
        <v>130</v>
      </c>
      <c r="B84" t="s">
        <v>23</v>
      </c>
      <c r="C84" t="s">
        <v>24</v>
      </c>
      <c r="D84" t="s">
        <v>25</v>
      </c>
      <c r="E84" t="s">
        <v>14</v>
      </c>
      <c r="F84" t="s">
        <v>45</v>
      </c>
      <c r="G84" s="3">
        <v>1600</v>
      </c>
      <c r="H84" s="4">
        <v>45724</v>
      </c>
      <c r="I84">
        <v>83</v>
      </c>
      <c r="J84" t="s">
        <v>354</v>
      </c>
    </row>
    <row r="85" spans="1:10">
      <c r="A85" t="s">
        <v>131</v>
      </c>
      <c r="B85" t="s">
        <v>28</v>
      </c>
      <c r="C85" t="s">
        <v>26</v>
      </c>
      <c r="D85" t="s">
        <v>27</v>
      </c>
      <c r="E85" t="s">
        <v>11</v>
      </c>
      <c r="F85" t="s">
        <v>43</v>
      </c>
      <c r="G85" s="3">
        <v>4522</v>
      </c>
      <c r="H85" s="4">
        <v>45725</v>
      </c>
      <c r="I85">
        <v>84</v>
      </c>
      <c r="J85" t="s">
        <v>354</v>
      </c>
    </row>
    <row r="86" spans="1:10">
      <c r="A86" t="s">
        <v>132</v>
      </c>
      <c r="B86" t="s">
        <v>8</v>
      </c>
      <c r="C86" t="s">
        <v>29</v>
      </c>
      <c r="D86" t="s">
        <v>30</v>
      </c>
      <c r="E86" t="s">
        <v>11</v>
      </c>
      <c r="F86" t="s">
        <v>48</v>
      </c>
      <c r="G86" s="3">
        <v>2857</v>
      </c>
      <c r="H86" s="4">
        <v>45726</v>
      </c>
      <c r="I86">
        <v>85</v>
      </c>
      <c r="J86" t="s">
        <v>354</v>
      </c>
    </row>
    <row r="87" spans="1:10">
      <c r="A87" t="s">
        <v>133</v>
      </c>
      <c r="B87" t="s">
        <v>8</v>
      </c>
      <c r="C87" t="s">
        <v>31</v>
      </c>
      <c r="D87" t="s">
        <v>32</v>
      </c>
      <c r="E87" t="s">
        <v>14</v>
      </c>
      <c r="F87" t="s">
        <v>50</v>
      </c>
      <c r="G87" s="3">
        <v>2817</v>
      </c>
      <c r="H87" s="4">
        <v>45727</v>
      </c>
      <c r="I87">
        <v>86</v>
      </c>
      <c r="J87" t="s">
        <v>354</v>
      </c>
    </row>
    <row r="88" spans="1:10">
      <c r="A88" t="s">
        <v>134</v>
      </c>
      <c r="B88" t="s">
        <v>15</v>
      </c>
      <c r="C88" t="s">
        <v>33</v>
      </c>
      <c r="D88" t="s">
        <v>34</v>
      </c>
      <c r="E88" t="s">
        <v>14</v>
      </c>
      <c r="F88" t="s">
        <v>52</v>
      </c>
      <c r="G88" s="3">
        <v>656</v>
      </c>
      <c r="H88" s="4">
        <v>45728</v>
      </c>
      <c r="I88">
        <v>87</v>
      </c>
      <c r="J88" t="s">
        <v>354</v>
      </c>
    </row>
    <row r="89" spans="1:10">
      <c r="A89" t="s">
        <v>135</v>
      </c>
      <c r="B89" t="s">
        <v>15</v>
      </c>
      <c r="C89" t="s">
        <v>16</v>
      </c>
      <c r="D89" t="s">
        <v>17</v>
      </c>
      <c r="E89" t="s">
        <v>14</v>
      </c>
      <c r="F89" t="s">
        <v>45</v>
      </c>
      <c r="G89" s="3">
        <v>1074</v>
      </c>
      <c r="H89" s="4">
        <v>45729</v>
      </c>
      <c r="I89">
        <v>88</v>
      </c>
      <c r="J89" t="s">
        <v>354</v>
      </c>
    </row>
    <row r="90" spans="1:10">
      <c r="A90" t="s">
        <v>136</v>
      </c>
      <c r="B90" t="s">
        <v>18</v>
      </c>
      <c r="C90" t="s">
        <v>19</v>
      </c>
      <c r="D90" t="s">
        <v>20</v>
      </c>
      <c r="E90" t="s">
        <v>14</v>
      </c>
      <c r="F90" t="s">
        <v>55</v>
      </c>
      <c r="G90" s="3">
        <v>4457</v>
      </c>
      <c r="H90" s="4">
        <v>45730</v>
      </c>
      <c r="I90">
        <v>89</v>
      </c>
      <c r="J90" t="s">
        <v>354</v>
      </c>
    </row>
    <row r="91" spans="1:10">
      <c r="A91" t="s">
        <v>137</v>
      </c>
      <c r="B91" t="s">
        <v>18</v>
      </c>
      <c r="C91" t="s">
        <v>21</v>
      </c>
      <c r="D91" t="s">
        <v>22</v>
      </c>
      <c r="E91" t="s">
        <v>14</v>
      </c>
      <c r="F91" t="s">
        <v>45</v>
      </c>
      <c r="G91" s="3">
        <v>750</v>
      </c>
      <c r="H91" s="4">
        <v>45731</v>
      </c>
      <c r="I91">
        <v>90</v>
      </c>
      <c r="J91" t="s">
        <v>354</v>
      </c>
    </row>
    <row r="92" spans="1:10">
      <c r="A92" t="s">
        <v>138</v>
      </c>
      <c r="B92" t="s">
        <v>8</v>
      </c>
      <c r="C92" t="s">
        <v>9</v>
      </c>
      <c r="D92" t="s">
        <v>10</v>
      </c>
      <c r="E92" t="s">
        <v>11</v>
      </c>
      <c r="F92" t="s">
        <v>48</v>
      </c>
      <c r="G92" s="3">
        <v>3718</v>
      </c>
      <c r="H92" s="4">
        <v>45732</v>
      </c>
      <c r="I92">
        <v>91</v>
      </c>
      <c r="J92" t="s">
        <v>354</v>
      </c>
    </row>
    <row r="93" spans="1:10">
      <c r="A93" t="s">
        <v>139</v>
      </c>
      <c r="B93" t="s">
        <v>23</v>
      </c>
      <c r="C93" t="s">
        <v>12</v>
      </c>
      <c r="D93" t="s">
        <v>13</v>
      </c>
      <c r="E93" t="s">
        <v>14</v>
      </c>
      <c r="F93" t="s">
        <v>43</v>
      </c>
      <c r="G93" s="3">
        <v>4260</v>
      </c>
      <c r="H93" s="4">
        <v>45733</v>
      </c>
      <c r="I93">
        <v>92</v>
      </c>
      <c r="J93" t="s">
        <v>354</v>
      </c>
    </row>
    <row r="94" spans="1:10">
      <c r="A94" t="s">
        <v>140</v>
      </c>
      <c r="B94" t="s">
        <v>23</v>
      </c>
      <c r="C94" t="s">
        <v>9</v>
      </c>
      <c r="D94" t="s">
        <v>10</v>
      </c>
      <c r="E94" t="s">
        <v>11</v>
      </c>
      <c r="F94" t="s">
        <v>50</v>
      </c>
      <c r="G94" s="3">
        <v>2945</v>
      </c>
      <c r="H94" s="4">
        <v>45734</v>
      </c>
      <c r="I94">
        <v>93</v>
      </c>
      <c r="J94" t="s">
        <v>354</v>
      </c>
    </row>
    <row r="95" spans="1:10">
      <c r="A95" t="s">
        <v>141</v>
      </c>
      <c r="B95" t="s">
        <v>28</v>
      </c>
      <c r="C95" t="s">
        <v>16</v>
      </c>
      <c r="D95" t="s">
        <v>17</v>
      </c>
      <c r="E95" t="s">
        <v>14</v>
      </c>
      <c r="F95" t="s">
        <v>48</v>
      </c>
      <c r="G95" s="3">
        <v>1714</v>
      </c>
      <c r="H95" s="4">
        <v>45735</v>
      </c>
      <c r="I95">
        <v>94</v>
      </c>
      <c r="J95" t="s">
        <v>354</v>
      </c>
    </row>
    <row r="96" spans="1:10">
      <c r="A96" t="s">
        <v>142</v>
      </c>
      <c r="B96" t="s">
        <v>28</v>
      </c>
      <c r="C96" t="s">
        <v>19</v>
      </c>
      <c r="D96" t="s">
        <v>20</v>
      </c>
      <c r="E96" t="s">
        <v>14</v>
      </c>
      <c r="F96" t="s">
        <v>50</v>
      </c>
      <c r="G96" s="3">
        <v>2965</v>
      </c>
      <c r="H96" s="4">
        <v>45736</v>
      </c>
      <c r="I96">
        <v>95</v>
      </c>
      <c r="J96" t="s">
        <v>354</v>
      </c>
    </row>
    <row r="97" spans="1:10">
      <c r="A97" t="s">
        <v>143</v>
      </c>
      <c r="B97" t="s">
        <v>8</v>
      </c>
      <c r="C97" t="s">
        <v>21</v>
      </c>
      <c r="D97" t="s">
        <v>22</v>
      </c>
      <c r="E97" t="s">
        <v>14</v>
      </c>
      <c r="F97" t="s">
        <v>52</v>
      </c>
      <c r="G97" s="3">
        <v>2533</v>
      </c>
      <c r="H97" s="4">
        <v>45737</v>
      </c>
      <c r="I97">
        <v>96</v>
      </c>
      <c r="J97" t="s">
        <v>354</v>
      </c>
    </row>
    <row r="98" spans="1:10">
      <c r="A98" t="s">
        <v>144</v>
      </c>
      <c r="B98" t="s">
        <v>15</v>
      </c>
      <c r="C98" t="s">
        <v>12</v>
      </c>
      <c r="D98" t="s">
        <v>13</v>
      </c>
      <c r="E98" t="s">
        <v>14</v>
      </c>
      <c r="F98" t="s">
        <v>55</v>
      </c>
      <c r="G98" s="3">
        <v>4435</v>
      </c>
      <c r="H98" s="4">
        <v>45738</v>
      </c>
      <c r="I98">
        <v>97</v>
      </c>
      <c r="J98" t="s">
        <v>354</v>
      </c>
    </row>
    <row r="99" spans="1:10">
      <c r="A99" t="s">
        <v>145</v>
      </c>
      <c r="B99" t="s">
        <v>18</v>
      </c>
      <c r="C99" t="s">
        <v>24</v>
      </c>
      <c r="D99" t="s">
        <v>25</v>
      </c>
      <c r="E99" t="s">
        <v>14</v>
      </c>
      <c r="F99" t="s">
        <v>45</v>
      </c>
      <c r="G99" s="3">
        <v>2091</v>
      </c>
      <c r="H99" s="4">
        <v>45739</v>
      </c>
      <c r="I99">
        <v>98</v>
      </c>
      <c r="J99" t="s">
        <v>354</v>
      </c>
    </row>
    <row r="100" spans="1:10">
      <c r="A100" t="s">
        <v>146</v>
      </c>
      <c r="B100" t="s">
        <v>23</v>
      </c>
      <c r="C100" t="s">
        <v>26</v>
      </c>
      <c r="D100" t="s">
        <v>27</v>
      </c>
      <c r="E100" t="s">
        <v>11</v>
      </c>
      <c r="F100" t="s">
        <v>48</v>
      </c>
      <c r="G100" s="3">
        <v>2962</v>
      </c>
      <c r="H100" s="4">
        <v>45740</v>
      </c>
      <c r="I100">
        <v>99</v>
      </c>
      <c r="J100" t="s">
        <v>354</v>
      </c>
    </row>
    <row r="101" spans="1:10">
      <c r="A101" t="s">
        <v>147</v>
      </c>
      <c r="B101" t="s">
        <v>28</v>
      </c>
      <c r="C101" t="s">
        <v>29</v>
      </c>
      <c r="D101" t="s">
        <v>30</v>
      </c>
      <c r="E101" t="s">
        <v>11</v>
      </c>
      <c r="F101" t="s">
        <v>43</v>
      </c>
      <c r="G101" s="3">
        <v>4000</v>
      </c>
      <c r="H101" s="4">
        <v>45741</v>
      </c>
      <c r="I101">
        <v>100</v>
      </c>
      <c r="J101" t="s">
        <v>354</v>
      </c>
    </row>
    <row r="102" spans="1:10">
      <c r="A102" t="s">
        <v>148</v>
      </c>
      <c r="B102" t="s">
        <v>8</v>
      </c>
      <c r="C102" t="s">
        <v>31</v>
      </c>
      <c r="D102" t="s">
        <v>32</v>
      </c>
      <c r="E102" t="s">
        <v>14</v>
      </c>
      <c r="F102" t="s">
        <v>43</v>
      </c>
      <c r="G102" s="3">
        <v>1987</v>
      </c>
      <c r="H102" s="4">
        <v>45742</v>
      </c>
      <c r="I102">
        <v>101</v>
      </c>
      <c r="J102" t="s">
        <v>354</v>
      </c>
    </row>
    <row r="103" spans="1:10">
      <c r="A103" t="s">
        <v>149</v>
      </c>
      <c r="B103" t="s">
        <v>15</v>
      </c>
      <c r="C103" t="s">
        <v>33</v>
      </c>
      <c r="D103" t="s">
        <v>34</v>
      </c>
      <c r="E103" t="s">
        <v>14</v>
      </c>
      <c r="F103" t="s">
        <v>45</v>
      </c>
      <c r="G103" s="3">
        <v>3670</v>
      </c>
      <c r="H103" s="4">
        <v>45743</v>
      </c>
      <c r="I103">
        <v>102</v>
      </c>
      <c r="J103" t="s">
        <v>354</v>
      </c>
    </row>
    <row r="104" spans="1:10">
      <c r="A104" t="s">
        <v>150</v>
      </c>
      <c r="B104" t="s">
        <v>18</v>
      </c>
      <c r="C104" t="s">
        <v>16</v>
      </c>
      <c r="D104" t="s">
        <v>17</v>
      </c>
      <c r="E104" t="s">
        <v>14</v>
      </c>
      <c r="F104" t="s">
        <v>43</v>
      </c>
      <c r="G104" s="3">
        <v>4773</v>
      </c>
      <c r="H104" s="4">
        <v>45744</v>
      </c>
      <c r="I104">
        <v>103</v>
      </c>
      <c r="J104" t="s">
        <v>354</v>
      </c>
    </row>
    <row r="105" spans="1:10">
      <c r="A105" t="s">
        <v>151</v>
      </c>
      <c r="B105" t="s">
        <v>23</v>
      </c>
      <c r="C105" t="s">
        <v>19</v>
      </c>
      <c r="D105" t="s">
        <v>20</v>
      </c>
      <c r="E105" t="s">
        <v>14</v>
      </c>
      <c r="F105" t="s">
        <v>45</v>
      </c>
      <c r="G105" s="3">
        <v>4982</v>
      </c>
      <c r="H105" s="4">
        <v>45745</v>
      </c>
      <c r="I105">
        <v>104</v>
      </c>
      <c r="J105" t="s">
        <v>354</v>
      </c>
    </row>
    <row r="106" spans="1:10">
      <c r="A106" t="s">
        <v>152</v>
      </c>
      <c r="B106" t="s">
        <v>28</v>
      </c>
      <c r="C106" t="s">
        <v>21</v>
      </c>
      <c r="D106" t="s">
        <v>22</v>
      </c>
      <c r="E106" t="s">
        <v>14</v>
      </c>
      <c r="F106" t="s">
        <v>43</v>
      </c>
      <c r="G106" s="3">
        <v>655</v>
      </c>
      <c r="H106" s="4">
        <v>45746</v>
      </c>
      <c r="I106">
        <v>105</v>
      </c>
      <c r="J106" t="s">
        <v>354</v>
      </c>
    </row>
    <row r="107" spans="1:10">
      <c r="A107" t="s">
        <v>153</v>
      </c>
      <c r="B107" t="s">
        <v>8</v>
      </c>
      <c r="C107" t="s">
        <v>9</v>
      </c>
      <c r="D107" t="s">
        <v>10</v>
      </c>
      <c r="E107" t="s">
        <v>11</v>
      </c>
      <c r="F107" t="s">
        <v>48</v>
      </c>
      <c r="G107" s="3">
        <v>695</v>
      </c>
      <c r="H107" s="4">
        <v>45747</v>
      </c>
      <c r="I107">
        <v>106</v>
      </c>
      <c r="J107" t="s">
        <v>354</v>
      </c>
    </row>
    <row r="108" spans="1:10">
      <c r="A108" t="s">
        <v>154</v>
      </c>
      <c r="B108" t="s">
        <v>8</v>
      </c>
      <c r="C108" t="s">
        <v>12</v>
      </c>
      <c r="D108" t="s">
        <v>13</v>
      </c>
      <c r="E108" t="s">
        <v>14</v>
      </c>
      <c r="F108" t="s">
        <v>50</v>
      </c>
      <c r="G108" s="3">
        <v>2357</v>
      </c>
      <c r="H108" s="4">
        <v>45748</v>
      </c>
      <c r="I108">
        <v>107</v>
      </c>
      <c r="J108" t="s">
        <v>354</v>
      </c>
    </row>
    <row r="109" spans="1:10">
      <c r="A109" t="s">
        <v>155</v>
      </c>
      <c r="B109" t="s">
        <v>15</v>
      </c>
      <c r="C109" t="s">
        <v>9</v>
      </c>
      <c r="D109" t="s">
        <v>10</v>
      </c>
      <c r="E109" t="s">
        <v>11</v>
      </c>
      <c r="F109" t="s">
        <v>52</v>
      </c>
      <c r="G109" s="3">
        <v>3566</v>
      </c>
      <c r="H109" s="4">
        <v>45749</v>
      </c>
      <c r="I109">
        <v>108</v>
      </c>
      <c r="J109" t="s">
        <v>354</v>
      </c>
    </row>
    <row r="110" spans="1:10">
      <c r="A110" t="s">
        <v>156</v>
      </c>
      <c r="B110" t="s">
        <v>15</v>
      </c>
      <c r="C110" t="s">
        <v>16</v>
      </c>
      <c r="D110" t="s">
        <v>17</v>
      </c>
      <c r="E110" t="s">
        <v>14</v>
      </c>
      <c r="F110" t="s">
        <v>45</v>
      </c>
      <c r="G110" s="3">
        <v>3850</v>
      </c>
      <c r="H110" s="4">
        <v>45750</v>
      </c>
      <c r="I110">
        <v>109</v>
      </c>
      <c r="J110" t="s">
        <v>354</v>
      </c>
    </row>
    <row r="111" spans="1:10">
      <c r="A111" t="s">
        <v>157</v>
      </c>
      <c r="B111" t="s">
        <v>18</v>
      </c>
      <c r="C111" t="s">
        <v>19</v>
      </c>
      <c r="D111" t="s">
        <v>20</v>
      </c>
      <c r="E111" t="s">
        <v>14</v>
      </c>
      <c r="F111" t="s">
        <v>55</v>
      </c>
      <c r="G111" s="3">
        <v>3500</v>
      </c>
      <c r="H111" s="4">
        <v>45751</v>
      </c>
      <c r="I111">
        <v>110</v>
      </c>
      <c r="J111" t="s">
        <v>354</v>
      </c>
    </row>
    <row r="112" spans="1:10">
      <c r="A112" t="s">
        <v>158</v>
      </c>
      <c r="B112" t="s">
        <v>18</v>
      </c>
      <c r="C112" t="s">
        <v>21</v>
      </c>
      <c r="D112" t="s">
        <v>22</v>
      </c>
      <c r="E112" t="s">
        <v>14</v>
      </c>
      <c r="F112" t="s">
        <v>45</v>
      </c>
      <c r="G112" s="3">
        <v>2255</v>
      </c>
      <c r="H112" s="4">
        <v>45752</v>
      </c>
      <c r="I112">
        <v>111</v>
      </c>
      <c r="J112" t="s">
        <v>354</v>
      </c>
    </row>
    <row r="113" spans="1:10">
      <c r="A113" t="s">
        <v>159</v>
      </c>
      <c r="B113" t="s">
        <v>8</v>
      </c>
      <c r="C113" t="s">
        <v>12</v>
      </c>
      <c r="D113" t="s">
        <v>13</v>
      </c>
      <c r="E113" t="s">
        <v>14</v>
      </c>
      <c r="F113" t="s">
        <v>48</v>
      </c>
      <c r="G113" s="3">
        <v>761</v>
      </c>
      <c r="H113" s="4">
        <v>45753</v>
      </c>
      <c r="I113">
        <v>112</v>
      </c>
      <c r="J113" t="s">
        <v>354</v>
      </c>
    </row>
    <row r="114" spans="1:10">
      <c r="A114" t="s">
        <v>160</v>
      </c>
      <c r="B114" t="s">
        <v>23</v>
      </c>
      <c r="C114" t="s">
        <v>24</v>
      </c>
      <c r="D114" t="s">
        <v>25</v>
      </c>
      <c r="E114" t="s">
        <v>14</v>
      </c>
      <c r="F114" t="s">
        <v>43</v>
      </c>
      <c r="G114" s="3">
        <v>3087</v>
      </c>
      <c r="H114" s="4">
        <v>45754</v>
      </c>
      <c r="I114">
        <v>113</v>
      </c>
      <c r="J114" t="s">
        <v>354</v>
      </c>
    </row>
    <row r="115" spans="1:10">
      <c r="A115" t="s">
        <v>161</v>
      </c>
      <c r="B115" t="s">
        <v>23</v>
      </c>
      <c r="C115" t="s">
        <v>26</v>
      </c>
      <c r="D115" t="s">
        <v>27</v>
      </c>
      <c r="E115" t="s">
        <v>11</v>
      </c>
      <c r="F115" t="s">
        <v>50</v>
      </c>
      <c r="G115" s="3">
        <v>2493</v>
      </c>
      <c r="H115" s="4">
        <v>45755</v>
      </c>
      <c r="I115">
        <v>114</v>
      </c>
      <c r="J115" t="s">
        <v>354</v>
      </c>
    </row>
    <row r="116" spans="1:10">
      <c r="A116" t="s">
        <v>162</v>
      </c>
      <c r="B116" t="s">
        <v>28</v>
      </c>
      <c r="C116" t="s">
        <v>29</v>
      </c>
      <c r="D116" t="s">
        <v>30</v>
      </c>
      <c r="E116" t="s">
        <v>11</v>
      </c>
      <c r="F116" t="s">
        <v>48</v>
      </c>
      <c r="G116" s="3">
        <v>3096</v>
      </c>
      <c r="H116" s="4">
        <v>45756</v>
      </c>
      <c r="I116">
        <v>115</v>
      </c>
      <c r="J116" t="s">
        <v>354</v>
      </c>
    </row>
    <row r="117" spans="1:10">
      <c r="A117" t="s">
        <v>163</v>
      </c>
      <c r="B117" t="s">
        <v>28</v>
      </c>
      <c r="C117" t="s">
        <v>31</v>
      </c>
      <c r="D117" t="s">
        <v>32</v>
      </c>
      <c r="E117" t="s">
        <v>14</v>
      </c>
      <c r="F117" t="s">
        <v>50</v>
      </c>
      <c r="G117" s="3">
        <v>2600</v>
      </c>
      <c r="H117" s="4">
        <v>45757</v>
      </c>
      <c r="I117">
        <v>116</v>
      </c>
      <c r="J117" t="s">
        <v>354</v>
      </c>
    </row>
    <row r="118" spans="1:10">
      <c r="A118" t="s">
        <v>164</v>
      </c>
      <c r="B118" t="s">
        <v>8</v>
      </c>
      <c r="C118" t="s">
        <v>33</v>
      </c>
      <c r="D118" t="s">
        <v>34</v>
      </c>
      <c r="E118" t="s">
        <v>14</v>
      </c>
      <c r="F118" t="s">
        <v>52</v>
      </c>
      <c r="G118" s="3">
        <v>1905</v>
      </c>
      <c r="H118" s="4">
        <v>45758</v>
      </c>
      <c r="I118">
        <v>117</v>
      </c>
      <c r="J118" t="s">
        <v>354</v>
      </c>
    </row>
    <row r="119" spans="1:10">
      <c r="A119" t="s">
        <v>165</v>
      </c>
      <c r="B119" t="s">
        <v>15</v>
      </c>
      <c r="C119" t="s">
        <v>16</v>
      </c>
      <c r="D119" t="s">
        <v>17</v>
      </c>
      <c r="E119" t="s">
        <v>14</v>
      </c>
      <c r="F119" t="s">
        <v>55</v>
      </c>
      <c r="G119" s="3">
        <v>4904</v>
      </c>
      <c r="H119" s="4">
        <v>45759</v>
      </c>
      <c r="I119">
        <v>118</v>
      </c>
      <c r="J119" t="s">
        <v>354</v>
      </c>
    </row>
    <row r="120" spans="1:10">
      <c r="A120" t="s">
        <v>166</v>
      </c>
      <c r="B120" t="s">
        <v>18</v>
      </c>
      <c r="C120" t="s">
        <v>19</v>
      </c>
      <c r="D120" t="s">
        <v>20</v>
      </c>
      <c r="E120" t="s">
        <v>14</v>
      </c>
      <c r="F120" t="s">
        <v>45</v>
      </c>
      <c r="G120" s="3">
        <v>1763</v>
      </c>
      <c r="H120" s="4">
        <v>45760</v>
      </c>
      <c r="I120">
        <v>119</v>
      </c>
      <c r="J120" t="s">
        <v>354</v>
      </c>
    </row>
    <row r="121" spans="1:10">
      <c r="A121" t="s">
        <v>167</v>
      </c>
      <c r="B121" t="s">
        <v>23</v>
      </c>
      <c r="C121" t="s">
        <v>21</v>
      </c>
      <c r="D121" t="s">
        <v>22</v>
      </c>
      <c r="E121" t="s">
        <v>14</v>
      </c>
      <c r="F121" t="s">
        <v>48</v>
      </c>
      <c r="G121" s="3">
        <v>902</v>
      </c>
      <c r="H121" s="4">
        <v>45761</v>
      </c>
      <c r="I121">
        <v>120</v>
      </c>
      <c r="J121" t="s">
        <v>354</v>
      </c>
    </row>
    <row r="122" spans="1:10">
      <c r="A122" t="s">
        <v>168</v>
      </c>
      <c r="B122" t="s">
        <v>28</v>
      </c>
      <c r="C122" t="s">
        <v>9</v>
      </c>
      <c r="D122" t="s">
        <v>10</v>
      </c>
      <c r="E122" t="s">
        <v>11</v>
      </c>
      <c r="F122" t="s">
        <v>43</v>
      </c>
      <c r="G122" s="3">
        <v>680</v>
      </c>
      <c r="H122" s="4">
        <v>45762</v>
      </c>
      <c r="I122">
        <v>121</v>
      </c>
      <c r="J122" t="s">
        <v>354</v>
      </c>
    </row>
    <row r="123" spans="1:10">
      <c r="A123" t="s">
        <v>169</v>
      </c>
      <c r="B123" t="s">
        <v>8</v>
      </c>
      <c r="C123" t="s">
        <v>12</v>
      </c>
      <c r="D123" t="s">
        <v>13</v>
      </c>
      <c r="E123" t="s">
        <v>14</v>
      </c>
      <c r="F123" t="s">
        <v>43</v>
      </c>
      <c r="G123" s="3">
        <v>3306</v>
      </c>
      <c r="H123" s="4">
        <v>45763</v>
      </c>
      <c r="I123">
        <v>122</v>
      </c>
      <c r="J123" t="s">
        <v>354</v>
      </c>
    </row>
    <row r="124" spans="1:10">
      <c r="A124" t="s">
        <v>170</v>
      </c>
      <c r="B124" t="s">
        <v>15</v>
      </c>
      <c r="C124" t="s">
        <v>9</v>
      </c>
      <c r="D124" t="s">
        <v>10</v>
      </c>
      <c r="E124" t="s">
        <v>11</v>
      </c>
      <c r="F124" t="s">
        <v>45</v>
      </c>
      <c r="G124" s="3">
        <v>2857</v>
      </c>
      <c r="H124" s="4">
        <v>45764</v>
      </c>
      <c r="I124">
        <v>123</v>
      </c>
      <c r="J124" t="s">
        <v>354</v>
      </c>
    </row>
    <row r="125" spans="1:10">
      <c r="A125" t="s">
        <v>171</v>
      </c>
      <c r="B125" t="s">
        <v>18</v>
      </c>
      <c r="C125" t="s">
        <v>16</v>
      </c>
      <c r="D125" t="s">
        <v>17</v>
      </c>
      <c r="E125" t="s">
        <v>14</v>
      </c>
      <c r="F125" t="s">
        <v>43</v>
      </c>
      <c r="G125" s="3">
        <v>2058</v>
      </c>
      <c r="H125" s="4">
        <v>45765</v>
      </c>
      <c r="I125">
        <v>124</v>
      </c>
      <c r="J125" t="s">
        <v>354</v>
      </c>
    </row>
    <row r="126" spans="1:10">
      <c r="A126" t="s">
        <v>172</v>
      </c>
      <c r="B126" t="s">
        <v>23</v>
      </c>
      <c r="C126" t="s">
        <v>19</v>
      </c>
      <c r="D126" t="s">
        <v>20</v>
      </c>
      <c r="E126" t="s">
        <v>14</v>
      </c>
      <c r="F126" t="s">
        <v>48</v>
      </c>
      <c r="G126" s="3">
        <v>4062</v>
      </c>
      <c r="H126" s="4">
        <v>45766</v>
      </c>
      <c r="I126">
        <v>125</v>
      </c>
      <c r="J126" t="s">
        <v>354</v>
      </c>
    </row>
    <row r="127" spans="1:10">
      <c r="A127" t="s">
        <v>173</v>
      </c>
      <c r="B127" t="s">
        <v>28</v>
      </c>
      <c r="C127" t="s">
        <v>21</v>
      </c>
      <c r="D127" t="s">
        <v>22</v>
      </c>
      <c r="E127" t="s">
        <v>14</v>
      </c>
      <c r="F127" t="s">
        <v>50</v>
      </c>
      <c r="G127" s="3">
        <v>1756</v>
      </c>
      <c r="H127" s="4">
        <v>45767</v>
      </c>
      <c r="I127">
        <v>126</v>
      </c>
      <c r="J127" t="s">
        <v>354</v>
      </c>
    </row>
    <row r="128" spans="1:10">
      <c r="A128" t="s">
        <v>174</v>
      </c>
      <c r="B128" t="s">
        <v>8</v>
      </c>
      <c r="C128" t="s">
        <v>12</v>
      </c>
      <c r="D128" t="s">
        <v>13</v>
      </c>
      <c r="E128" t="s">
        <v>14</v>
      </c>
      <c r="F128" t="s">
        <v>52</v>
      </c>
      <c r="G128" s="3">
        <v>4677</v>
      </c>
      <c r="H128" s="4">
        <v>45768</v>
      </c>
      <c r="I128">
        <v>127</v>
      </c>
      <c r="J128" t="s">
        <v>354</v>
      </c>
    </row>
    <row r="129" spans="1:10">
      <c r="A129" t="s">
        <v>175</v>
      </c>
      <c r="B129" t="s">
        <v>8</v>
      </c>
      <c r="C129" t="s">
        <v>24</v>
      </c>
      <c r="D129" t="s">
        <v>25</v>
      </c>
      <c r="E129" t="s">
        <v>14</v>
      </c>
      <c r="F129" t="s">
        <v>45</v>
      </c>
      <c r="G129" s="3">
        <v>2712</v>
      </c>
      <c r="H129" s="4">
        <v>45769</v>
      </c>
      <c r="I129">
        <v>128</v>
      </c>
      <c r="J129" t="s">
        <v>354</v>
      </c>
    </row>
    <row r="130" spans="1:10">
      <c r="A130" t="s">
        <v>176</v>
      </c>
      <c r="B130" t="s">
        <v>15</v>
      </c>
      <c r="C130" t="s">
        <v>26</v>
      </c>
      <c r="D130" t="s">
        <v>27</v>
      </c>
      <c r="E130" t="s">
        <v>11</v>
      </c>
      <c r="F130" t="s">
        <v>55</v>
      </c>
      <c r="G130" s="3">
        <v>4433</v>
      </c>
      <c r="H130" s="4">
        <v>45770</v>
      </c>
      <c r="I130">
        <v>129</v>
      </c>
      <c r="J130" t="s">
        <v>354</v>
      </c>
    </row>
    <row r="131" spans="1:10">
      <c r="A131" t="s">
        <v>177</v>
      </c>
      <c r="B131" t="s">
        <v>15</v>
      </c>
      <c r="C131" t="s">
        <v>29</v>
      </c>
      <c r="D131" t="s">
        <v>30</v>
      </c>
      <c r="E131" t="s">
        <v>11</v>
      </c>
      <c r="F131" t="s">
        <v>45</v>
      </c>
      <c r="G131" s="3">
        <v>4663</v>
      </c>
      <c r="H131" s="4">
        <v>45771</v>
      </c>
      <c r="I131">
        <v>130</v>
      </c>
      <c r="J131" t="s">
        <v>354</v>
      </c>
    </row>
    <row r="132" spans="1:10">
      <c r="A132" t="s">
        <v>178</v>
      </c>
      <c r="B132" t="s">
        <v>18</v>
      </c>
      <c r="C132" t="s">
        <v>31</v>
      </c>
      <c r="D132" t="s">
        <v>32</v>
      </c>
      <c r="E132" t="s">
        <v>14</v>
      </c>
      <c r="F132" t="s">
        <v>48</v>
      </c>
      <c r="G132" s="3">
        <v>1619</v>
      </c>
      <c r="H132" s="4">
        <v>45772</v>
      </c>
      <c r="I132">
        <v>131</v>
      </c>
      <c r="J132" t="s">
        <v>354</v>
      </c>
    </row>
    <row r="133" spans="1:10">
      <c r="A133" t="s">
        <v>179</v>
      </c>
      <c r="B133" t="s">
        <v>18</v>
      </c>
      <c r="C133" t="s">
        <v>33</v>
      </c>
      <c r="D133" t="s">
        <v>34</v>
      </c>
      <c r="E133" t="s">
        <v>14</v>
      </c>
      <c r="F133" t="s">
        <v>43</v>
      </c>
      <c r="G133" s="3">
        <v>945</v>
      </c>
      <c r="H133" s="4">
        <v>45773</v>
      </c>
      <c r="I133">
        <v>132</v>
      </c>
      <c r="J133" t="s">
        <v>354</v>
      </c>
    </row>
    <row r="134" spans="1:10">
      <c r="A134" t="s">
        <v>180</v>
      </c>
      <c r="B134" t="s">
        <v>8</v>
      </c>
      <c r="C134" t="s">
        <v>16</v>
      </c>
      <c r="D134" t="s">
        <v>17</v>
      </c>
      <c r="E134" t="s">
        <v>14</v>
      </c>
      <c r="F134" t="s">
        <v>43</v>
      </c>
      <c r="G134" s="3">
        <v>2887</v>
      </c>
      <c r="H134" s="4">
        <v>45774</v>
      </c>
      <c r="I134">
        <v>133</v>
      </c>
      <c r="J134" t="s">
        <v>354</v>
      </c>
    </row>
    <row r="135" spans="1:10">
      <c r="A135" t="s">
        <v>181</v>
      </c>
      <c r="B135" t="s">
        <v>23</v>
      </c>
      <c r="C135" t="s">
        <v>19</v>
      </c>
      <c r="D135" t="s">
        <v>20</v>
      </c>
      <c r="E135" t="s">
        <v>14</v>
      </c>
      <c r="F135" t="s">
        <v>45</v>
      </c>
      <c r="G135" s="3">
        <v>2453</v>
      </c>
      <c r="H135" s="4">
        <v>45775</v>
      </c>
      <c r="I135">
        <v>134</v>
      </c>
      <c r="J135" t="s">
        <v>354</v>
      </c>
    </row>
    <row r="136" spans="1:10">
      <c r="A136" t="s">
        <v>182</v>
      </c>
      <c r="B136" t="s">
        <v>23</v>
      </c>
      <c r="C136" t="s">
        <v>21</v>
      </c>
      <c r="D136" t="s">
        <v>22</v>
      </c>
      <c r="E136" t="s">
        <v>14</v>
      </c>
      <c r="F136" t="s">
        <v>43</v>
      </c>
      <c r="G136" s="3">
        <v>2563</v>
      </c>
      <c r="H136" s="4">
        <v>45776</v>
      </c>
      <c r="I136">
        <v>135</v>
      </c>
      <c r="J136" t="s">
        <v>354</v>
      </c>
    </row>
    <row r="137" spans="1:10">
      <c r="A137" t="s">
        <v>183</v>
      </c>
      <c r="B137" t="s">
        <v>28</v>
      </c>
      <c r="C137" t="s">
        <v>9</v>
      </c>
      <c r="D137" t="s">
        <v>10</v>
      </c>
      <c r="E137" t="s">
        <v>11</v>
      </c>
      <c r="F137" t="s">
        <v>48</v>
      </c>
      <c r="G137" s="3">
        <v>4696</v>
      </c>
      <c r="H137" s="4">
        <v>45777</v>
      </c>
      <c r="I137">
        <v>136</v>
      </c>
      <c r="J137" t="s">
        <v>354</v>
      </c>
    </row>
    <row r="138" spans="1:10">
      <c r="A138" t="s">
        <v>184</v>
      </c>
      <c r="B138" t="s">
        <v>28</v>
      </c>
      <c r="C138" t="s">
        <v>12</v>
      </c>
      <c r="D138" t="s">
        <v>13</v>
      </c>
      <c r="E138" t="s">
        <v>14</v>
      </c>
      <c r="F138" t="s">
        <v>50</v>
      </c>
      <c r="G138" s="3">
        <v>1503</v>
      </c>
      <c r="H138" s="4">
        <v>45778</v>
      </c>
      <c r="I138">
        <v>137</v>
      </c>
      <c r="J138" t="s">
        <v>354</v>
      </c>
    </row>
    <row r="139" spans="1:10">
      <c r="A139" t="s">
        <v>185</v>
      </c>
      <c r="B139" t="s">
        <v>8</v>
      </c>
      <c r="C139" t="s">
        <v>9</v>
      </c>
      <c r="D139" t="s">
        <v>10</v>
      </c>
      <c r="E139" t="s">
        <v>11</v>
      </c>
      <c r="F139" t="s">
        <v>52</v>
      </c>
      <c r="G139" s="3">
        <v>4280</v>
      </c>
      <c r="H139" s="4">
        <v>45779</v>
      </c>
      <c r="I139">
        <v>138</v>
      </c>
      <c r="J139" t="s">
        <v>354</v>
      </c>
    </row>
    <row r="140" spans="1:10">
      <c r="A140" t="s">
        <v>186</v>
      </c>
      <c r="B140" t="s">
        <v>15</v>
      </c>
      <c r="C140" t="s">
        <v>16</v>
      </c>
      <c r="D140" t="s">
        <v>17</v>
      </c>
      <c r="E140" t="s">
        <v>14</v>
      </c>
      <c r="F140" t="s">
        <v>45</v>
      </c>
      <c r="G140" s="3">
        <v>4136</v>
      </c>
      <c r="H140" s="4">
        <v>45780</v>
      </c>
      <c r="I140">
        <v>139</v>
      </c>
      <c r="J140" t="s">
        <v>354</v>
      </c>
    </row>
    <row r="141" spans="1:10">
      <c r="A141" t="s">
        <v>187</v>
      </c>
      <c r="B141" t="s">
        <v>18</v>
      </c>
      <c r="C141" t="s">
        <v>19</v>
      </c>
      <c r="D141" t="s">
        <v>20</v>
      </c>
      <c r="E141" t="s">
        <v>14</v>
      </c>
      <c r="F141" t="s">
        <v>55</v>
      </c>
      <c r="G141" s="3">
        <v>2075</v>
      </c>
      <c r="H141" s="4">
        <v>45781</v>
      </c>
      <c r="I141">
        <v>140</v>
      </c>
      <c r="J141" t="s">
        <v>354</v>
      </c>
    </row>
    <row r="142" spans="1:10">
      <c r="A142" t="s">
        <v>188</v>
      </c>
      <c r="B142" t="s">
        <v>23</v>
      </c>
      <c r="C142" t="s">
        <v>21</v>
      </c>
      <c r="D142" t="s">
        <v>22</v>
      </c>
      <c r="E142" t="s">
        <v>14</v>
      </c>
      <c r="F142" t="s">
        <v>45</v>
      </c>
      <c r="G142" s="3">
        <v>4914</v>
      </c>
      <c r="H142" s="4">
        <v>45782</v>
      </c>
      <c r="I142">
        <v>141</v>
      </c>
      <c r="J142" t="s">
        <v>354</v>
      </c>
    </row>
    <row r="143" spans="1:10">
      <c r="A143" t="s">
        <v>189</v>
      </c>
      <c r="B143" t="s">
        <v>28</v>
      </c>
      <c r="C143" t="s">
        <v>12</v>
      </c>
      <c r="D143" t="s">
        <v>13</v>
      </c>
      <c r="E143" t="s">
        <v>14</v>
      </c>
      <c r="F143" t="s">
        <v>48</v>
      </c>
      <c r="G143" s="3">
        <v>1410</v>
      </c>
      <c r="H143" s="4">
        <v>45783</v>
      </c>
      <c r="I143">
        <v>142</v>
      </c>
      <c r="J143" t="s">
        <v>354</v>
      </c>
    </row>
    <row r="144" spans="1:10">
      <c r="A144" t="s">
        <v>190</v>
      </c>
      <c r="B144" t="s">
        <v>8</v>
      </c>
      <c r="C144" t="s">
        <v>24</v>
      </c>
      <c r="D144" t="s">
        <v>25</v>
      </c>
      <c r="E144" t="s">
        <v>14</v>
      </c>
      <c r="F144" t="s">
        <v>43</v>
      </c>
      <c r="G144" s="3">
        <v>4221</v>
      </c>
      <c r="H144" s="4">
        <v>45784</v>
      </c>
      <c r="I144">
        <v>143</v>
      </c>
      <c r="J144" t="s">
        <v>354</v>
      </c>
    </row>
    <row r="145" spans="1:10">
      <c r="A145" t="s">
        <v>191</v>
      </c>
      <c r="B145" t="s">
        <v>15</v>
      </c>
      <c r="C145" t="s">
        <v>26</v>
      </c>
      <c r="D145" t="s">
        <v>27</v>
      </c>
      <c r="E145" t="s">
        <v>11</v>
      </c>
      <c r="F145" t="s">
        <v>50</v>
      </c>
      <c r="G145" s="3">
        <v>1580</v>
      </c>
      <c r="H145" s="4">
        <v>45785</v>
      </c>
      <c r="I145">
        <v>144</v>
      </c>
      <c r="J145" t="s">
        <v>354</v>
      </c>
    </row>
    <row r="146" spans="1:10">
      <c r="A146" t="s">
        <v>192</v>
      </c>
      <c r="B146" t="s">
        <v>18</v>
      </c>
      <c r="C146" t="s">
        <v>29</v>
      </c>
      <c r="D146" t="s">
        <v>30</v>
      </c>
      <c r="E146" t="s">
        <v>11</v>
      </c>
      <c r="F146" t="s">
        <v>48</v>
      </c>
      <c r="G146" s="3">
        <v>876</v>
      </c>
      <c r="H146" s="4">
        <v>45786</v>
      </c>
      <c r="I146">
        <v>145</v>
      </c>
      <c r="J146" t="s">
        <v>354</v>
      </c>
    </row>
    <row r="147" spans="1:10">
      <c r="A147" t="s">
        <v>193</v>
      </c>
      <c r="B147" t="s">
        <v>23</v>
      </c>
      <c r="C147" t="s">
        <v>31</v>
      </c>
      <c r="D147" t="s">
        <v>32</v>
      </c>
      <c r="E147" t="s">
        <v>14</v>
      </c>
      <c r="F147" t="s">
        <v>50</v>
      </c>
      <c r="G147" s="3">
        <v>1052</v>
      </c>
      <c r="H147" s="4">
        <v>45787</v>
      </c>
      <c r="I147">
        <v>146</v>
      </c>
      <c r="J147" t="s">
        <v>354</v>
      </c>
    </row>
    <row r="148" spans="1:10">
      <c r="A148" t="s">
        <v>194</v>
      </c>
      <c r="B148" t="s">
        <v>28</v>
      </c>
      <c r="C148" t="s">
        <v>33</v>
      </c>
      <c r="D148" t="s">
        <v>34</v>
      </c>
      <c r="E148" t="s">
        <v>14</v>
      </c>
      <c r="F148" t="s">
        <v>52</v>
      </c>
      <c r="G148" s="3">
        <v>4640</v>
      </c>
      <c r="H148" s="4">
        <v>45788</v>
      </c>
      <c r="I148">
        <v>147</v>
      </c>
      <c r="J148" t="s">
        <v>354</v>
      </c>
    </row>
    <row r="149" spans="1:10">
      <c r="A149" t="s">
        <v>195</v>
      </c>
      <c r="B149" t="s">
        <v>8</v>
      </c>
      <c r="C149" t="s">
        <v>16</v>
      </c>
      <c r="D149" t="s">
        <v>17</v>
      </c>
      <c r="E149" t="s">
        <v>14</v>
      </c>
      <c r="F149" t="s">
        <v>55</v>
      </c>
      <c r="G149" s="3">
        <v>2090</v>
      </c>
      <c r="H149" s="4">
        <v>45789</v>
      </c>
      <c r="I149">
        <v>148</v>
      </c>
      <c r="J149" t="s">
        <v>354</v>
      </c>
    </row>
    <row r="150" spans="1:10">
      <c r="A150" t="s">
        <v>196</v>
      </c>
      <c r="B150" t="s">
        <v>8</v>
      </c>
      <c r="C150" t="s">
        <v>19</v>
      </c>
      <c r="D150" t="s">
        <v>20</v>
      </c>
      <c r="E150" t="s">
        <v>14</v>
      </c>
      <c r="F150" t="s">
        <v>45</v>
      </c>
      <c r="G150" s="3">
        <v>894</v>
      </c>
      <c r="H150" s="4">
        <v>45790</v>
      </c>
      <c r="I150">
        <v>149</v>
      </c>
      <c r="J150" t="s">
        <v>354</v>
      </c>
    </row>
    <row r="151" spans="1:10">
      <c r="A151" t="s">
        <v>197</v>
      </c>
      <c r="B151" t="s">
        <v>15</v>
      </c>
      <c r="C151" t="s">
        <v>21</v>
      </c>
      <c r="D151" t="s">
        <v>22</v>
      </c>
      <c r="E151" t="s">
        <v>14</v>
      </c>
      <c r="F151" t="s">
        <v>48</v>
      </c>
      <c r="G151" s="3">
        <v>3582</v>
      </c>
      <c r="H151" s="4">
        <v>45791</v>
      </c>
      <c r="I151">
        <v>150</v>
      </c>
      <c r="J151" t="s">
        <v>354</v>
      </c>
    </row>
    <row r="152" spans="1:10">
      <c r="A152" t="s">
        <v>198</v>
      </c>
      <c r="B152" t="s">
        <v>15</v>
      </c>
      <c r="C152" t="s">
        <v>9</v>
      </c>
      <c r="D152" t="s">
        <v>10</v>
      </c>
      <c r="E152" t="s">
        <v>11</v>
      </c>
      <c r="F152" t="s">
        <v>43</v>
      </c>
      <c r="G152" s="3">
        <v>1258</v>
      </c>
      <c r="H152" s="4">
        <v>45792</v>
      </c>
      <c r="I152">
        <v>151</v>
      </c>
      <c r="J152" t="s">
        <v>354</v>
      </c>
    </row>
    <row r="153" spans="1:10">
      <c r="A153" t="s">
        <v>199</v>
      </c>
      <c r="B153" t="s">
        <v>18</v>
      </c>
      <c r="C153" t="s">
        <v>12</v>
      </c>
      <c r="D153" t="s">
        <v>13</v>
      </c>
      <c r="E153" t="s">
        <v>14</v>
      </c>
      <c r="F153" t="s">
        <v>43</v>
      </c>
      <c r="G153" s="3">
        <v>3485</v>
      </c>
      <c r="H153" s="4">
        <v>45793</v>
      </c>
      <c r="I153">
        <v>152</v>
      </c>
      <c r="J153" t="s">
        <v>354</v>
      </c>
    </row>
    <row r="154" spans="1:10">
      <c r="A154" t="s">
        <v>200</v>
      </c>
      <c r="B154" t="s">
        <v>18</v>
      </c>
      <c r="C154" t="s">
        <v>9</v>
      </c>
      <c r="D154" t="s">
        <v>10</v>
      </c>
      <c r="E154" t="s">
        <v>11</v>
      </c>
      <c r="F154" t="s">
        <v>45</v>
      </c>
      <c r="G154" s="3">
        <v>1559</v>
      </c>
      <c r="H154" s="4">
        <v>45794</v>
      </c>
      <c r="I154">
        <v>153</v>
      </c>
      <c r="J154" t="s">
        <v>354</v>
      </c>
    </row>
    <row r="155" spans="1:10">
      <c r="A155" t="s">
        <v>201</v>
      </c>
      <c r="B155" t="s">
        <v>8</v>
      </c>
      <c r="C155" t="s">
        <v>16</v>
      </c>
      <c r="D155" t="s">
        <v>17</v>
      </c>
      <c r="E155" t="s">
        <v>14</v>
      </c>
      <c r="F155" t="s">
        <v>43</v>
      </c>
      <c r="G155" s="3">
        <v>2180</v>
      </c>
      <c r="H155" s="4">
        <v>45795</v>
      </c>
      <c r="I155">
        <v>154</v>
      </c>
      <c r="J155" t="s">
        <v>354</v>
      </c>
    </row>
    <row r="156" spans="1:10">
      <c r="A156" t="s">
        <v>202</v>
      </c>
      <c r="B156" t="s">
        <v>23</v>
      </c>
      <c r="C156" t="s">
        <v>19</v>
      </c>
      <c r="D156" t="s">
        <v>20</v>
      </c>
      <c r="E156" t="s">
        <v>14</v>
      </c>
      <c r="F156" t="s">
        <v>45</v>
      </c>
      <c r="G156" s="3">
        <v>1463</v>
      </c>
      <c r="H156" s="4">
        <v>45796</v>
      </c>
      <c r="I156">
        <v>155</v>
      </c>
      <c r="J156" t="s">
        <v>354</v>
      </c>
    </row>
    <row r="157" spans="1:10">
      <c r="A157" t="s">
        <v>203</v>
      </c>
      <c r="B157" t="s">
        <v>23</v>
      </c>
      <c r="C157" t="s">
        <v>21</v>
      </c>
      <c r="D157" t="s">
        <v>22</v>
      </c>
      <c r="E157" t="s">
        <v>14</v>
      </c>
      <c r="F157" t="s">
        <v>43</v>
      </c>
      <c r="G157" s="3">
        <v>2902</v>
      </c>
      <c r="H157" s="4">
        <v>45797</v>
      </c>
      <c r="I157">
        <v>156</v>
      </c>
      <c r="J157" t="s">
        <v>354</v>
      </c>
    </row>
    <row r="158" spans="1:10">
      <c r="A158" t="s">
        <v>204</v>
      </c>
      <c r="B158" t="s">
        <v>28</v>
      </c>
      <c r="C158" t="s">
        <v>12</v>
      </c>
      <c r="D158" t="s">
        <v>13</v>
      </c>
      <c r="E158" t="s">
        <v>14</v>
      </c>
      <c r="F158" t="s">
        <v>48</v>
      </c>
      <c r="G158" s="3">
        <v>1420</v>
      </c>
      <c r="H158" s="4">
        <v>45798</v>
      </c>
      <c r="I158">
        <v>157</v>
      </c>
      <c r="J158" t="s">
        <v>354</v>
      </c>
    </row>
    <row r="159" spans="1:10">
      <c r="A159" t="s">
        <v>205</v>
      </c>
      <c r="B159" t="s">
        <v>28</v>
      </c>
      <c r="C159" t="s">
        <v>24</v>
      </c>
      <c r="D159" t="s">
        <v>25</v>
      </c>
      <c r="E159" t="s">
        <v>14</v>
      </c>
      <c r="F159" t="s">
        <v>50</v>
      </c>
      <c r="G159" s="3">
        <v>4172</v>
      </c>
      <c r="H159" s="4">
        <v>45799</v>
      </c>
      <c r="I159">
        <v>158</v>
      </c>
      <c r="J159" t="s">
        <v>354</v>
      </c>
    </row>
    <row r="160" spans="1:10">
      <c r="A160" t="s">
        <v>206</v>
      </c>
      <c r="B160" t="s">
        <v>8</v>
      </c>
      <c r="C160" t="s">
        <v>26</v>
      </c>
      <c r="D160" t="s">
        <v>27</v>
      </c>
      <c r="E160" t="s">
        <v>11</v>
      </c>
      <c r="F160" t="s">
        <v>52</v>
      </c>
      <c r="G160" s="3">
        <v>4661</v>
      </c>
      <c r="H160" s="4">
        <v>45800</v>
      </c>
      <c r="I160">
        <v>159</v>
      </c>
      <c r="J160" t="s">
        <v>354</v>
      </c>
    </row>
    <row r="161" spans="1:10">
      <c r="A161" t="s">
        <v>207</v>
      </c>
      <c r="B161" t="s">
        <v>15</v>
      </c>
      <c r="C161" t="s">
        <v>29</v>
      </c>
      <c r="D161" t="s">
        <v>30</v>
      </c>
      <c r="E161" t="s">
        <v>11</v>
      </c>
      <c r="F161" t="s">
        <v>45</v>
      </c>
      <c r="G161" s="3">
        <v>2968</v>
      </c>
      <c r="H161" s="4">
        <v>45801</v>
      </c>
      <c r="I161">
        <v>160</v>
      </c>
      <c r="J161" t="s">
        <v>354</v>
      </c>
    </row>
    <row r="162" spans="1:10">
      <c r="A162" t="s">
        <v>208</v>
      </c>
      <c r="B162" t="s">
        <v>18</v>
      </c>
      <c r="C162" t="s">
        <v>31</v>
      </c>
      <c r="D162" t="s">
        <v>32</v>
      </c>
      <c r="E162" t="s">
        <v>14</v>
      </c>
      <c r="F162" t="s">
        <v>55</v>
      </c>
      <c r="G162" s="3">
        <v>3785</v>
      </c>
      <c r="H162" s="4">
        <v>45802</v>
      </c>
      <c r="I162">
        <v>161</v>
      </c>
      <c r="J162" t="s">
        <v>354</v>
      </c>
    </row>
    <row r="163" spans="1:10">
      <c r="A163" t="s">
        <v>209</v>
      </c>
      <c r="B163" t="s">
        <v>23</v>
      </c>
      <c r="C163" t="s">
        <v>33</v>
      </c>
      <c r="D163" t="s">
        <v>34</v>
      </c>
      <c r="E163" t="s">
        <v>14</v>
      </c>
      <c r="F163" t="s">
        <v>45</v>
      </c>
      <c r="G163" s="3">
        <v>2357</v>
      </c>
      <c r="H163" s="4">
        <v>45803</v>
      </c>
      <c r="I163">
        <v>162</v>
      </c>
      <c r="J163" t="s">
        <v>354</v>
      </c>
    </row>
    <row r="164" spans="1:10">
      <c r="A164" t="s">
        <v>210</v>
      </c>
      <c r="B164" t="s">
        <v>28</v>
      </c>
      <c r="C164" t="s">
        <v>16</v>
      </c>
      <c r="D164" t="s">
        <v>17</v>
      </c>
      <c r="E164" t="s">
        <v>14</v>
      </c>
      <c r="F164" t="s">
        <v>48</v>
      </c>
      <c r="G164" s="3">
        <v>4995</v>
      </c>
      <c r="H164" s="4">
        <v>45804</v>
      </c>
      <c r="I164">
        <v>163</v>
      </c>
      <c r="J164" t="s">
        <v>354</v>
      </c>
    </row>
    <row r="165" spans="1:10">
      <c r="A165" t="s">
        <v>211</v>
      </c>
      <c r="B165" t="s">
        <v>8</v>
      </c>
      <c r="C165" t="s">
        <v>19</v>
      </c>
      <c r="D165" t="s">
        <v>20</v>
      </c>
      <c r="E165" t="s">
        <v>14</v>
      </c>
      <c r="F165" t="s">
        <v>43</v>
      </c>
      <c r="G165" s="3">
        <v>1383</v>
      </c>
      <c r="H165" s="4">
        <v>45805</v>
      </c>
      <c r="I165">
        <v>164</v>
      </c>
      <c r="J165" t="s">
        <v>354</v>
      </c>
    </row>
    <row r="166" spans="1:10">
      <c r="A166" t="s">
        <v>212</v>
      </c>
      <c r="B166" t="s">
        <v>15</v>
      </c>
      <c r="C166" t="s">
        <v>21</v>
      </c>
      <c r="D166" t="s">
        <v>22</v>
      </c>
      <c r="E166" t="s">
        <v>14</v>
      </c>
      <c r="F166" t="s">
        <v>50</v>
      </c>
      <c r="G166" s="3">
        <v>800</v>
      </c>
      <c r="H166" s="4">
        <v>45806</v>
      </c>
      <c r="I166">
        <v>165</v>
      </c>
      <c r="J166" t="s">
        <v>354</v>
      </c>
    </row>
    <row r="167" spans="1:10">
      <c r="A167" t="s">
        <v>213</v>
      </c>
      <c r="B167" t="s">
        <v>18</v>
      </c>
      <c r="C167" t="s">
        <v>9</v>
      </c>
      <c r="D167" t="s">
        <v>10</v>
      </c>
      <c r="E167" t="s">
        <v>11</v>
      </c>
      <c r="F167" t="s">
        <v>48</v>
      </c>
      <c r="G167" s="3">
        <v>1966</v>
      </c>
      <c r="H167" s="4">
        <v>45807</v>
      </c>
      <c r="I167">
        <v>166</v>
      </c>
      <c r="J167" t="s">
        <v>354</v>
      </c>
    </row>
    <row r="168" spans="1:10">
      <c r="A168" t="s">
        <v>214</v>
      </c>
      <c r="B168" t="s">
        <v>23</v>
      </c>
      <c r="C168" t="s">
        <v>12</v>
      </c>
      <c r="D168" t="s">
        <v>13</v>
      </c>
      <c r="E168" t="s">
        <v>14</v>
      </c>
      <c r="F168" t="s">
        <v>50</v>
      </c>
      <c r="G168" s="3">
        <v>3933</v>
      </c>
      <c r="H168" s="4">
        <v>45808</v>
      </c>
      <c r="I168">
        <v>167</v>
      </c>
      <c r="J168" t="s">
        <v>354</v>
      </c>
    </row>
    <row r="169" spans="1:10">
      <c r="A169" t="s">
        <v>215</v>
      </c>
      <c r="B169" t="s">
        <v>28</v>
      </c>
      <c r="C169" t="s">
        <v>9</v>
      </c>
      <c r="D169" t="s">
        <v>10</v>
      </c>
      <c r="E169" t="s">
        <v>11</v>
      </c>
      <c r="F169" t="s">
        <v>52</v>
      </c>
      <c r="G169" s="3">
        <v>3064</v>
      </c>
      <c r="H169" s="4">
        <v>45809</v>
      </c>
      <c r="I169">
        <v>168</v>
      </c>
      <c r="J169" t="s">
        <v>354</v>
      </c>
    </row>
    <row r="170" spans="1:10">
      <c r="A170" t="s">
        <v>216</v>
      </c>
      <c r="B170" t="s">
        <v>8</v>
      </c>
      <c r="C170" t="s">
        <v>16</v>
      </c>
      <c r="D170" t="s">
        <v>17</v>
      </c>
      <c r="E170" t="s">
        <v>14</v>
      </c>
      <c r="F170" t="s">
        <v>55</v>
      </c>
      <c r="G170" s="3">
        <v>1004</v>
      </c>
      <c r="H170" s="4">
        <v>45810</v>
      </c>
      <c r="I170">
        <v>169</v>
      </c>
      <c r="J170" t="s">
        <v>354</v>
      </c>
    </row>
    <row r="171" spans="1:10">
      <c r="A171" t="s">
        <v>217</v>
      </c>
      <c r="B171" t="s">
        <v>8</v>
      </c>
      <c r="C171" t="s">
        <v>19</v>
      </c>
      <c r="D171" t="s">
        <v>20</v>
      </c>
      <c r="E171" t="s">
        <v>14</v>
      </c>
      <c r="F171" t="s">
        <v>45</v>
      </c>
      <c r="G171" s="3">
        <v>699</v>
      </c>
      <c r="H171" s="4">
        <v>45811</v>
      </c>
      <c r="I171">
        <v>170</v>
      </c>
      <c r="J171" t="s">
        <v>354</v>
      </c>
    </row>
    <row r="172" spans="1:10">
      <c r="A172" t="s">
        <v>218</v>
      </c>
      <c r="B172" t="s">
        <v>15</v>
      </c>
      <c r="C172" t="s">
        <v>21</v>
      </c>
      <c r="D172" t="s">
        <v>22</v>
      </c>
      <c r="E172" t="s">
        <v>14</v>
      </c>
      <c r="F172" t="s">
        <v>48</v>
      </c>
      <c r="G172" s="3">
        <v>1264</v>
      </c>
      <c r="H172" s="4">
        <v>45812</v>
      </c>
      <c r="I172">
        <v>171</v>
      </c>
      <c r="J172" t="s">
        <v>354</v>
      </c>
    </row>
    <row r="173" spans="1:10">
      <c r="A173" t="s">
        <v>219</v>
      </c>
      <c r="B173" t="s">
        <v>15</v>
      </c>
      <c r="C173" t="s">
        <v>12</v>
      </c>
      <c r="D173" t="s">
        <v>13</v>
      </c>
      <c r="E173" t="s">
        <v>14</v>
      </c>
      <c r="F173" t="s">
        <v>43</v>
      </c>
      <c r="G173" s="3">
        <v>677</v>
      </c>
      <c r="H173" s="4">
        <v>45813</v>
      </c>
      <c r="I173">
        <v>172</v>
      </c>
      <c r="J173" t="s">
        <v>354</v>
      </c>
    </row>
    <row r="174" spans="1:10">
      <c r="A174" t="s">
        <v>220</v>
      </c>
      <c r="B174" t="s">
        <v>18</v>
      </c>
      <c r="C174" t="s">
        <v>24</v>
      </c>
      <c r="D174" t="s">
        <v>25</v>
      </c>
      <c r="E174" t="s">
        <v>14</v>
      </c>
      <c r="F174" t="s">
        <v>43</v>
      </c>
      <c r="G174" s="3">
        <v>4820</v>
      </c>
      <c r="H174" s="4">
        <v>45814</v>
      </c>
      <c r="I174">
        <v>173</v>
      </c>
      <c r="J174" t="s">
        <v>354</v>
      </c>
    </row>
    <row r="175" spans="1:10">
      <c r="A175" t="s">
        <v>221</v>
      </c>
      <c r="B175" t="s">
        <v>18</v>
      </c>
      <c r="C175" t="s">
        <v>26</v>
      </c>
      <c r="D175" t="s">
        <v>27</v>
      </c>
      <c r="E175" t="s">
        <v>11</v>
      </c>
      <c r="F175" t="s">
        <v>45</v>
      </c>
      <c r="G175" s="3">
        <v>2810</v>
      </c>
      <c r="H175" s="4">
        <v>45815</v>
      </c>
      <c r="I175">
        <v>174</v>
      </c>
      <c r="J175" t="s">
        <v>354</v>
      </c>
    </row>
    <row r="176" spans="1:10">
      <c r="A176" t="s">
        <v>222</v>
      </c>
      <c r="B176" t="s">
        <v>8</v>
      </c>
      <c r="C176" t="s">
        <v>29</v>
      </c>
      <c r="D176" t="s">
        <v>30</v>
      </c>
      <c r="E176" t="s">
        <v>11</v>
      </c>
      <c r="F176" t="s">
        <v>43</v>
      </c>
      <c r="G176" s="3">
        <v>1029</v>
      </c>
      <c r="H176" s="4">
        <v>45816</v>
      </c>
      <c r="I176">
        <v>175</v>
      </c>
      <c r="J176" t="s">
        <v>354</v>
      </c>
    </row>
    <row r="177" spans="1:10">
      <c r="A177" t="s">
        <v>223</v>
      </c>
      <c r="B177" t="s">
        <v>23</v>
      </c>
      <c r="C177" t="s">
        <v>31</v>
      </c>
      <c r="D177" t="s">
        <v>32</v>
      </c>
      <c r="E177" t="s">
        <v>14</v>
      </c>
      <c r="F177" t="s">
        <v>48</v>
      </c>
      <c r="G177" s="3">
        <v>2855</v>
      </c>
      <c r="H177" s="4">
        <v>45817</v>
      </c>
      <c r="I177">
        <v>176</v>
      </c>
      <c r="J177" t="s">
        <v>354</v>
      </c>
    </row>
    <row r="178" spans="1:10">
      <c r="A178" t="s">
        <v>224</v>
      </c>
      <c r="B178" t="s">
        <v>23</v>
      </c>
      <c r="C178" t="s">
        <v>33</v>
      </c>
      <c r="D178" t="s">
        <v>34</v>
      </c>
      <c r="E178" t="s">
        <v>14</v>
      </c>
      <c r="F178" t="s">
        <v>50</v>
      </c>
      <c r="G178" s="3">
        <v>1544</v>
      </c>
      <c r="H178" s="4">
        <v>45818</v>
      </c>
      <c r="I178">
        <v>177</v>
      </c>
      <c r="J178" t="s">
        <v>354</v>
      </c>
    </row>
    <row r="179" spans="1:10">
      <c r="A179" t="s">
        <v>225</v>
      </c>
      <c r="B179" t="s">
        <v>28</v>
      </c>
      <c r="C179" t="s">
        <v>16</v>
      </c>
      <c r="D179" t="s">
        <v>17</v>
      </c>
      <c r="E179" t="s">
        <v>14</v>
      </c>
      <c r="F179" t="s">
        <v>52</v>
      </c>
      <c r="G179" s="3">
        <v>3049</v>
      </c>
      <c r="H179" s="4">
        <v>45819</v>
      </c>
      <c r="I179">
        <v>178</v>
      </c>
      <c r="J179" t="s">
        <v>354</v>
      </c>
    </row>
    <row r="180" spans="1:10">
      <c r="A180" t="s">
        <v>226</v>
      </c>
      <c r="B180" t="s">
        <v>28</v>
      </c>
      <c r="C180" t="s">
        <v>19</v>
      </c>
      <c r="D180" t="s">
        <v>20</v>
      </c>
      <c r="E180" t="s">
        <v>14</v>
      </c>
      <c r="F180" t="s">
        <v>45</v>
      </c>
      <c r="G180" s="3">
        <v>3253</v>
      </c>
      <c r="H180" s="4">
        <v>45820</v>
      </c>
      <c r="I180">
        <v>179</v>
      </c>
      <c r="J180" t="s">
        <v>354</v>
      </c>
    </row>
    <row r="181" spans="1:10">
      <c r="A181" t="s">
        <v>227</v>
      </c>
      <c r="B181" t="s">
        <v>8</v>
      </c>
      <c r="C181" t="s">
        <v>21</v>
      </c>
      <c r="D181" t="s">
        <v>22</v>
      </c>
      <c r="E181" t="s">
        <v>14</v>
      </c>
      <c r="F181" t="s">
        <v>55</v>
      </c>
      <c r="G181" s="3">
        <v>1466</v>
      </c>
      <c r="H181" s="4">
        <v>45821</v>
      </c>
      <c r="I181">
        <v>180</v>
      </c>
      <c r="J181" t="s">
        <v>354</v>
      </c>
    </row>
    <row r="182" spans="1:10">
      <c r="A182" t="s">
        <v>228</v>
      </c>
      <c r="B182" t="s">
        <v>15</v>
      </c>
      <c r="C182" t="s">
        <v>9</v>
      </c>
      <c r="D182" t="s">
        <v>10</v>
      </c>
      <c r="E182" t="s">
        <v>11</v>
      </c>
      <c r="F182" t="s">
        <v>45</v>
      </c>
      <c r="G182" s="3">
        <v>3303</v>
      </c>
      <c r="H182" s="4">
        <v>45822</v>
      </c>
      <c r="I182">
        <v>181</v>
      </c>
      <c r="J182" t="s">
        <v>354</v>
      </c>
    </row>
    <row r="183" spans="1:10">
      <c r="A183" t="s">
        <v>229</v>
      </c>
      <c r="B183" t="s">
        <v>18</v>
      </c>
      <c r="C183" t="s">
        <v>12</v>
      </c>
      <c r="D183" t="s">
        <v>13</v>
      </c>
      <c r="E183" t="s">
        <v>14</v>
      </c>
      <c r="F183" t="s">
        <v>48</v>
      </c>
      <c r="G183" s="3">
        <v>849</v>
      </c>
      <c r="H183" s="4">
        <v>45823</v>
      </c>
      <c r="I183">
        <v>182</v>
      </c>
      <c r="J183" t="s">
        <v>354</v>
      </c>
    </row>
    <row r="184" spans="1:10">
      <c r="A184" t="s">
        <v>230</v>
      </c>
      <c r="B184" t="s">
        <v>23</v>
      </c>
      <c r="C184" t="s">
        <v>9</v>
      </c>
      <c r="D184" t="s">
        <v>10</v>
      </c>
      <c r="E184" t="s">
        <v>11</v>
      </c>
      <c r="F184" t="s">
        <v>43</v>
      </c>
      <c r="G184" s="3">
        <v>1895</v>
      </c>
      <c r="H184" s="4">
        <v>45824</v>
      </c>
      <c r="I184">
        <v>183</v>
      </c>
      <c r="J184" t="s">
        <v>354</v>
      </c>
    </row>
    <row r="185" spans="1:10">
      <c r="A185" t="s">
        <v>231</v>
      </c>
      <c r="B185" t="s">
        <v>28</v>
      </c>
      <c r="C185" t="s">
        <v>16</v>
      </c>
      <c r="D185" t="s">
        <v>17</v>
      </c>
      <c r="E185" t="s">
        <v>14</v>
      </c>
      <c r="F185" t="s">
        <v>43</v>
      </c>
      <c r="G185" s="3">
        <v>3668</v>
      </c>
      <c r="H185" s="4">
        <v>45825</v>
      </c>
      <c r="I185">
        <v>184</v>
      </c>
      <c r="J185" t="s">
        <v>354</v>
      </c>
    </row>
    <row r="186" spans="1:10">
      <c r="A186" t="s">
        <v>232</v>
      </c>
      <c r="B186" t="s">
        <v>8</v>
      </c>
      <c r="C186" t="s">
        <v>19</v>
      </c>
      <c r="D186" t="s">
        <v>20</v>
      </c>
      <c r="E186" t="s">
        <v>14</v>
      </c>
      <c r="F186" t="s">
        <v>45</v>
      </c>
      <c r="G186" s="3">
        <v>1214</v>
      </c>
      <c r="H186" s="4">
        <v>45826</v>
      </c>
      <c r="I186">
        <v>185</v>
      </c>
      <c r="J186" t="s">
        <v>354</v>
      </c>
    </row>
    <row r="187" spans="1:10">
      <c r="A187" t="s">
        <v>233</v>
      </c>
      <c r="B187" t="s">
        <v>15</v>
      </c>
      <c r="C187" t="s">
        <v>21</v>
      </c>
      <c r="D187" t="s">
        <v>22</v>
      </c>
      <c r="E187" t="s">
        <v>14</v>
      </c>
      <c r="F187" t="s">
        <v>43</v>
      </c>
      <c r="G187" s="3">
        <v>4372</v>
      </c>
      <c r="H187" s="4">
        <v>45827</v>
      </c>
      <c r="I187">
        <v>186</v>
      </c>
      <c r="J187" t="s">
        <v>354</v>
      </c>
    </row>
    <row r="188" spans="1:10">
      <c r="A188" t="s">
        <v>234</v>
      </c>
      <c r="B188" t="s">
        <v>18</v>
      </c>
      <c r="C188" t="s">
        <v>12</v>
      </c>
      <c r="D188" t="s">
        <v>13</v>
      </c>
      <c r="E188" t="s">
        <v>14</v>
      </c>
      <c r="F188" t="s">
        <v>48</v>
      </c>
      <c r="G188" s="3">
        <v>3671</v>
      </c>
      <c r="H188" s="4">
        <v>45828</v>
      </c>
      <c r="I188">
        <v>187</v>
      </c>
      <c r="J188" t="s">
        <v>354</v>
      </c>
    </row>
    <row r="189" spans="1:10">
      <c r="A189" t="s">
        <v>235</v>
      </c>
      <c r="B189" t="s">
        <v>23</v>
      </c>
      <c r="C189" t="s">
        <v>24</v>
      </c>
      <c r="D189" t="s">
        <v>25</v>
      </c>
      <c r="E189" t="s">
        <v>14</v>
      </c>
      <c r="F189" t="s">
        <v>50</v>
      </c>
      <c r="G189" s="3">
        <v>1807</v>
      </c>
      <c r="H189" s="4">
        <v>45829</v>
      </c>
      <c r="I189">
        <v>188</v>
      </c>
      <c r="J189" t="s">
        <v>354</v>
      </c>
    </row>
    <row r="190" spans="1:10">
      <c r="A190" t="s">
        <v>236</v>
      </c>
      <c r="B190" t="s">
        <v>28</v>
      </c>
      <c r="C190" t="s">
        <v>26</v>
      </c>
      <c r="D190" t="s">
        <v>27</v>
      </c>
      <c r="E190" t="s">
        <v>11</v>
      </c>
      <c r="F190" t="s">
        <v>52</v>
      </c>
      <c r="G190" s="3">
        <v>3668</v>
      </c>
      <c r="H190" s="4">
        <v>45830</v>
      </c>
      <c r="I190">
        <v>189</v>
      </c>
      <c r="J190" t="s">
        <v>354</v>
      </c>
    </row>
    <row r="191" spans="1:10">
      <c r="A191" t="s">
        <v>237</v>
      </c>
      <c r="B191" t="s">
        <v>8</v>
      </c>
      <c r="C191" t="s">
        <v>29</v>
      </c>
      <c r="D191" t="s">
        <v>30</v>
      </c>
      <c r="E191" t="s">
        <v>11</v>
      </c>
      <c r="F191" t="s">
        <v>45</v>
      </c>
      <c r="G191" s="3">
        <v>4170</v>
      </c>
      <c r="H191" s="4">
        <v>45831</v>
      </c>
      <c r="I191">
        <v>190</v>
      </c>
      <c r="J191" t="s">
        <v>354</v>
      </c>
    </row>
    <row r="192" spans="1:10">
      <c r="A192" t="s">
        <v>238</v>
      </c>
      <c r="B192" t="s">
        <v>8</v>
      </c>
      <c r="C192" t="s">
        <v>31</v>
      </c>
      <c r="D192" t="s">
        <v>32</v>
      </c>
      <c r="E192" t="s">
        <v>14</v>
      </c>
      <c r="F192" t="s">
        <v>55</v>
      </c>
      <c r="G192" s="3">
        <v>4416</v>
      </c>
      <c r="H192" s="4">
        <v>45832</v>
      </c>
      <c r="I192">
        <v>191</v>
      </c>
      <c r="J192" t="s">
        <v>354</v>
      </c>
    </row>
    <row r="193" spans="1:10">
      <c r="A193" t="s">
        <v>239</v>
      </c>
      <c r="B193" t="s">
        <v>15</v>
      </c>
      <c r="C193" t="s">
        <v>33</v>
      </c>
      <c r="D193" t="s">
        <v>34</v>
      </c>
      <c r="E193" t="s">
        <v>14</v>
      </c>
      <c r="F193" t="s">
        <v>45</v>
      </c>
      <c r="G193" s="3">
        <v>2419</v>
      </c>
      <c r="H193" s="4">
        <v>45833</v>
      </c>
      <c r="I193">
        <v>192</v>
      </c>
      <c r="J193" t="s">
        <v>354</v>
      </c>
    </row>
    <row r="194" spans="1:10">
      <c r="A194" t="s">
        <v>240</v>
      </c>
      <c r="B194" t="s">
        <v>15</v>
      </c>
      <c r="C194" t="s">
        <v>16</v>
      </c>
      <c r="D194" t="s">
        <v>17</v>
      </c>
      <c r="E194" t="s">
        <v>14</v>
      </c>
      <c r="F194" t="s">
        <v>48</v>
      </c>
      <c r="G194" s="3">
        <v>4090</v>
      </c>
      <c r="H194" s="4">
        <v>45834</v>
      </c>
      <c r="I194">
        <v>193</v>
      </c>
      <c r="J194" t="s">
        <v>354</v>
      </c>
    </row>
    <row r="195" spans="1:10">
      <c r="A195" t="s">
        <v>241</v>
      </c>
      <c r="B195" t="s">
        <v>18</v>
      </c>
      <c r="C195" t="s">
        <v>19</v>
      </c>
      <c r="D195" t="s">
        <v>20</v>
      </c>
      <c r="E195" t="s">
        <v>14</v>
      </c>
      <c r="F195" t="s">
        <v>43</v>
      </c>
      <c r="G195" s="3">
        <v>2242</v>
      </c>
      <c r="H195" s="4">
        <v>45835</v>
      </c>
      <c r="I195">
        <v>194</v>
      </c>
      <c r="J195" t="s">
        <v>354</v>
      </c>
    </row>
    <row r="196" spans="1:10">
      <c r="A196" t="s">
        <v>242</v>
      </c>
      <c r="B196" t="s">
        <v>18</v>
      </c>
      <c r="C196" t="s">
        <v>21</v>
      </c>
      <c r="D196" t="s">
        <v>22</v>
      </c>
      <c r="E196" t="s">
        <v>14</v>
      </c>
      <c r="F196" t="s">
        <v>50</v>
      </c>
      <c r="G196" s="3">
        <v>636</v>
      </c>
      <c r="H196" s="4">
        <v>45836</v>
      </c>
      <c r="I196">
        <v>195</v>
      </c>
      <c r="J196" t="s">
        <v>354</v>
      </c>
    </row>
    <row r="197" spans="1:10">
      <c r="A197" t="s">
        <v>243</v>
      </c>
      <c r="B197" t="s">
        <v>8</v>
      </c>
      <c r="C197" t="s">
        <v>9</v>
      </c>
      <c r="D197" t="s">
        <v>10</v>
      </c>
      <c r="E197" t="s">
        <v>11</v>
      </c>
      <c r="F197" t="s">
        <v>48</v>
      </c>
      <c r="G197" s="3">
        <v>3383</v>
      </c>
      <c r="H197" s="4">
        <v>45837</v>
      </c>
      <c r="I197">
        <v>196</v>
      </c>
      <c r="J197" t="s">
        <v>354</v>
      </c>
    </row>
    <row r="198" spans="1:10">
      <c r="A198" t="s">
        <v>244</v>
      </c>
      <c r="B198" t="s">
        <v>23</v>
      </c>
      <c r="C198" t="s">
        <v>12</v>
      </c>
      <c r="D198" t="s">
        <v>13</v>
      </c>
      <c r="E198" t="s">
        <v>14</v>
      </c>
      <c r="F198" t="s">
        <v>50</v>
      </c>
      <c r="G198" s="3">
        <v>2605</v>
      </c>
      <c r="H198" s="4">
        <v>45838</v>
      </c>
      <c r="I198">
        <v>197</v>
      </c>
      <c r="J198" t="s">
        <v>354</v>
      </c>
    </row>
    <row r="199" spans="1:10">
      <c r="A199" t="s">
        <v>245</v>
      </c>
      <c r="B199" t="s">
        <v>23</v>
      </c>
      <c r="C199" t="s">
        <v>9</v>
      </c>
      <c r="D199" t="s">
        <v>10</v>
      </c>
      <c r="E199" t="s">
        <v>11</v>
      </c>
      <c r="F199" t="s">
        <v>52</v>
      </c>
      <c r="G199" s="3">
        <v>2806</v>
      </c>
      <c r="H199" s="4">
        <v>45839</v>
      </c>
      <c r="I199">
        <v>198</v>
      </c>
      <c r="J199" t="s">
        <v>354</v>
      </c>
    </row>
    <row r="200" spans="1:10">
      <c r="A200" t="s">
        <v>246</v>
      </c>
      <c r="B200" t="s">
        <v>28</v>
      </c>
      <c r="C200" t="s">
        <v>16</v>
      </c>
      <c r="D200" t="s">
        <v>17</v>
      </c>
      <c r="E200" t="s">
        <v>14</v>
      </c>
      <c r="F200" t="s">
        <v>55</v>
      </c>
      <c r="G200" s="3">
        <v>1372</v>
      </c>
      <c r="H200" s="4">
        <v>45840</v>
      </c>
      <c r="I200">
        <v>199</v>
      </c>
      <c r="J200" t="s">
        <v>354</v>
      </c>
    </row>
    <row r="201" spans="1:10">
      <c r="A201" t="s">
        <v>247</v>
      </c>
      <c r="B201" t="s">
        <v>28</v>
      </c>
      <c r="C201" t="s">
        <v>19</v>
      </c>
      <c r="D201" t="s">
        <v>20</v>
      </c>
      <c r="E201" t="s">
        <v>14</v>
      </c>
      <c r="F201" t="s">
        <v>45</v>
      </c>
      <c r="G201" s="3">
        <v>3218</v>
      </c>
      <c r="H201" s="4">
        <v>45841</v>
      </c>
      <c r="I201">
        <v>200</v>
      </c>
      <c r="J201" t="s">
        <v>354</v>
      </c>
    </row>
    <row r="202" spans="1:10">
      <c r="A202" t="s">
        <v>248</v>
      </c>
      <c r="B202" t="s">
        <v>8</v>
      </c>
      <c r="C202" t="s">
        <v>21</v>
      </c>
      <c r="D202" t="s">
        <v>22</v>
      </c>
      <c r="E202" t="s">
        <v>14</v>
      </c>
      <c r="F202" t="s">
        <v>48</v>
      </c>
      <c r="G202" s="3">
        <v>1345</v>
      </c>
      <c r="H202" s="4">
        <v>45842</v>
      </c>
      <c r="I202">
        <v>201</v>
      </c>
      <c r="J202" t="s">
        <v>354</v>
      </c>
    </row>
    <row r="203" spans="1:10">
      <c r="A203" t="s">
        <v>249</v>
      </c>
      <c r="B203" t="s">
        <v>15</v>
      </c>
      <c r="C203" t="s">
        <v>12</v>
      </c>
      <c r="D203" t="s">
        <v>13</v>
      </c>
      <c r="E203" t="s">
        <v>14</v>
      </c>
      <c r="F203" t="s">
        <v>43</v>
      </c>
      <c r="G203" s="3">
        <v>3738</v>
      </c>
      <c r="H203" s="4">
        <v>45843</v>
      </c>
      <c r="I203">
        <v>202</v>
      </c>
      <c r="J203" t="s">
        <v>354</v>
      </c>
    </row>
    <row r="204" spans="1:10">
      <c r="A204" t="s">
        <v>250</v>
      </c>
      <c r="B204" t="s">
        <v>18</v>
      </c>
      <c r="C204" t="s">
        <v>24</v>
      </c>
      <c r="D204" t="s">
        <v>25</v>
      </c>
      <c r="E204" t="s">
        <v>14</v>
      </c>
      <c r="F204" t="s">
        <v>43</v>
      </c>
      <c r="G204" s="3">
        <v>2052</v>
      </c>
      <c r="H204" s="4">
        <v>45844</v>
      </c>
      <c r="I204">
        <v>203</v>
      </c>
      <c r="J204" t="s">
        <v>354</v>
      </c>
    </row>
    <row r="205" spans="1:10">
      <c r="A205" t="s">
        <v>251</v>
      </c>
      <c r="B205" t="s">
        <v>23</v>
      </c>
      <c r="C205" t="s">
        <v>26</v>
      </c>
      <c r="D205" t="s">
        <v>27</v>
      </c>
      <c r="E205" t="s">
        <v>11</v>
      </c>
      <c r="F205" t="s">
        <v>45</v>
      </c>
      <c r="G205" s="3">
        <v>1660</v>
      </c>
      <c r="H205" s="4">
        <v>45845</v>
      </c>
      <c r="I205">
        <v>204</v>
      </c>
      <c r="J205" t="s">
        <v>354</v>
      </c>
    </row>
    <row r="206" spans="1:10">
      <c r="A206" t="s">
        <v>252</v>
      </c>
      <c r="B206" t="s">
        <v>28</v>
      </c>
      <c r="C206" t="s">
        <v>29</v>
      </c>
      <c r="D206" t="s">
        <v>30</v>
      </c>
      <c r="E206" t="s">
        <v>11</v>
      </c>
      <c r="F206" t="s">
        <v>43</v>
      </c>
      <c r="G206" s="3">
        <v>4632</v>
      </c>
      <c r="H206" s="4">
        <v>45846</v>
      </c>
      <c r="I206">
        <v>205</v>
      </c>
      <c r="J206" t="s">
        <v>354</v>
      </c>
    </row>
    <row r="207" spans="1:10">
      <c r="A207" t="s">
        <v>253</v>
      </c>
      <c r="B207" t="s">
        <v>8</v>
      </c>
      <c r="C207" t="s">
        <v>31</v>
      </c>
      <c r="D207" t="s">
        <v>32</v>
      </c>
      <c r="E207" t="s">
        <v>14</v>
      </c>
      <c r="F207" t="s">
        <v>45</v>
      </c>
      <c r="G207" s="3">
        <v>2898</v>
      </c>
      <c r="H207" s="4">
        <v>45847</v>
      </c>
      <c r="I207">
        <v>206</v>
      </c>
      <c r="J207" t="s">
        <v>354</v>
      </c>
    </row>
    <row r="208" spans="1:10">
      <c r="A208" t="s">
        <v>254</v>
      </c>
      <c r="B208" t="s">
        <v>15</v>
      </c>
      <c r="C208" t="s">
        <v>33</v>
      </c>
      <c r="D208" t="s">
        <v>34</v>
      </c>
      <c r="E208" t="s">
        <v>14</v>
      </c>
      <c r="F208" t="s">
        <v>43</v>
      </c>
      <c r="G208" s="3">
        <v>4311</v>
      </c>
      <c r="H208" s="4">
        <v>45848</v>
      </c>
      <c r="I208">
        <v>207</v>
      </c>
      <c r="J208" t="s">
        <v>354</v>
      </c>
    </row>
    <row r="209" spans="1:10">
      <c r="A209" t="s">
        <v>255</v>
      </c>
      <c r="B209" t="s">
        <v>18</v>
      </c>
      <c r="C209" t="s">
        <v>16</v>
      </c>
      <c r="D209" t="s">
        <v>17</v>
      </c>
      <c r="E209" t="s">
        <v>14</v>
      </c>
      <c r="F209" t="s">
        <v>48</v>
      </c>
      <c r="G209" s="3">
        <v>2673</v>
      </c>
      <c r="H209" s="4">
        <v>45849</v>
      </c>
      <c r="I209">
        <v>208</v>
      </c>
      <c r="J209" t="s">
        <v>354</v>
      </c>
    </row>
    <row r="210" spans="1:10">
      <c r="A210" t="s">
        <v>256</v>
      </c>
      <c r="B210" t="s">
        <v>23</v>
      </c>
      <c r="C210" t="s">
        <v>19</v>
      </c>
      <c r="D210" t="s">
        <v>20</v>
      </c>
      <c r="E210" t="s">
        <v>14</v>
      </c>
      <c r="F210" t="s">
        <v>50</v>
      </c>
      <c r="G210" s="3">
        <v>4201</v>
      </c>
      <c r="H210" s="4">
        <v>45850</v>
      </c>
      <c r="I210">
        <v>209</v>
      </c>
      <c r="J210" t="s">
        <v>354</v>
      </c>
    </row>
    <row r="211" spans="1:10">
      <c r="A211" t="s">
        <v>257</v>
      </c>
      <c r="B211" t="s">
        <v>28</v>
      </c>
      <c r="C211" t="s">
        <v>21</v>
      </c>
      <c r="D211" t="s">
        <v>22</v>
      </c>
      <c r="E211" t="s">
        <v>14</v>
      </c>
      <c r="F211" t="s">
        <v>52</v>
      </c>
      <c r="G211" s="3">
        <v>1466</v>
      </c>
      <c r="H211" s="4">
        <v>45851</v>
      </c>
      <c r="I211">
        <v>210</v>
      </c>
      <c r="J211" t="s">
        <v>354</v>
      </c>
    </row>
    <row r="212" spans="1:10">
      <c r="A212" t="s">
        <v>258</v>
      </c>
      <c r="B212" t="s">
        <v>8</v>
      </c>
      <c r="C212" t="s">
        <v>9</v>
      </c>
      <c r="D212" t="s">
        <v>10</v>
      </c>
      <c r="E212" t="s">
        <v>11</v>
      </c>
      <c r="F212" t="s">
        <v>45</v>
      </c>
      <c r="G212" s="3">
        <v>2687</v>
      </c>
      <c r="H212" s="4">
        <v>45852</v>
      </c>
      <c r="I212">
        <v>211</v>
      </c>
      <c r="J212" t="s">
        <v>354</v>
      </c>
    </row>
    <row r="213" spans="1:10">
      <c r="A213" t="s">
        <v>259</v>
      </c>
      <c r="B213" t="s">
        <v>8</v>
      </c>
      <c r="C213" t="s">
        <v>12</v>
      </c>
      <c r="D213" t="s">
        <v>13</v>
      </c>
      <c r="E213" t="s">
        <v>14</v>
      </c>
      <c r="F213" t="s">
        <v>55</v>
      </c>
      <c r="G213" s="3">
        <v>830</v>
      </c>
      <c r="H213" s="4">
        <v>45853</v>
      </c>
      <c r="I213">
        <v>212</v>
      </c>
      <c r="J213" t="s">
        <v>354</v>
      </c>
    </row>
    <row r="214" spans="1:10">
      <c r="A214" t="s">
        <v>260</v>
      </c>
      <c r="B214" t="s">
        <v>15</v>
      </c>
      <c r="C214" t="s">
        <v>9</v>
      </c>
      <c r="D214" t="s">
        <v>10</v>
      </c>
      <c r="E214" t="s">
        <v>11</v>
      </c>
      <c r="F214" t="s">
        <v>45</v>
      </c>
      <c r="G214" s="3">
        <v>3855</v>
      </c>
      <c r="H214" s="4">
        <v>45854</v>
      </c>
      <c r="I214">
        <v>213</v>
      </c>
      <c r="J214" t="s">
        <v>354</v>
      </c>
    </row>
    <row r="215" spans="1:10">
      <c r="A215" t="s">
        <v>261</v>
      </c>
      <c r="B215" t="s">
        <v>15</v>
      </c>
      <c r="C215" t="s">
        <v>16</v>
      </c>
      <c r="D215" t="s">
        <v>17</v>
      </c>
      <c r="E215" t="s">
        <v>14</v>
      </c>
      <c r="F215" t="s">
        <v>48</v>
      </c>
      <c r="G215" s="3">
        <v>4568</v>
      </c>
      <c r="H215" s="4">
        <v>45855</v>
      </c>
      <c r="I215">
        <v>214</v>
      </c>
      <c r="J215" t="s">
        <v>354</v>
      </c>
    </row>
    <row r="216" spans="1:10">
      <c r="A216" t="s">
        <v>262</v>
      </c>
      <c r="B216" t="s">
        <v>18</v>
      </c>
      <c r="C216" t="s">
        <v>19</v>
      </c>
      <c r="D216" t="s">
        <v>20</v>
      </c>
      <c r="E216" t="s">
        <v>14</v>
      </c>
      <c r="F216" t="s">
        <v>43</v>
      </c>
      <c r="G216" s="3">
        <v>3509</v>
      </c>
      <c r="H216" s="4">
        <v>45856</v>
      </c>
      <c r="I216">
        <v>215</v>
      </c>
      <c r="J216" t="s">
        <v>354</v>
      </c>
    </row>
    <row r="217" spans="1:10">
      <c r="A217" t="s">
        <v>263</v>
      </c>
      <c r="B217" t="s">
        <v>18</v>
      </c>
      <c r="C217" t="s">
        <v>21</v>
      </c>
      <c r="D217" t="s">
        <v>22</v>
      </c>
      <c r="E217" t="s">
        <v>14</v>
      </c>
      <c r="F217" t="s">
        <v>50</v>
      </c>
      <c r="G217" s="3">
        <v>3227</v>
      </c>
      <c r="H217" s="4">
        <v>45857</v>
      </c>
      <c r="I217">
        <v>216</v>
      </c>
      <c r="J217" t="s">
        <v>354</v>
      </c>
    </row>
    <row r="218" spans="1:10">
      <c r="A218" t="s">
        <v>264</v>
      </c>
      <c r="B218" t="s">
        <v>8</v>
      </c>
      <c r="C218" t="s">
        <v>12</v>
      </c>
      <c r="D218" t="s">
        <v>13</v>
      </c>
      <c r="E218" t="s">
        <v>14</v>
      </c>
      <c r="F218" t="s">
        <v>48</v>
      </c>
      <c r="G218" s="3">
        <v>4371</v>
      </c>
      <c r="H218" s="4">
        <v>45858</v>
      </c>
      <c r="I218">
        <v>217</v>
      </c>
      <c r="J218" t="s">
        <v>354</v>
      </c>
    </row>
    <row r="219" spans="1:10">
      <c r="A219" t="s">
        <v>265</v>
      </c>
      <c r="B219" t="s">
        <v>23</v>
      </c>
      <c r="C219" t="s">
        <v>24</v>
      </c>
      <c r="D219" t="s">
        <v>25</v>
      </c>
      <c r="E219" t="s">
        <v>14</v>
      </c>
      <c r="F219" t="s">
        <v>50</v>
      </c>
      <c r="G219" s="3">
        <v>649</v>
      </c>
      <c r="H219" s="4">
        <v>45859</v>
      </c>
      <c r="I219">
        <v>218</v>
      </c>
      <c r="J219" t="s">
        <v>354</v>
      </c>
    </row>
    <row r="220" spans="1:10">
      <c r="A220" t="s">
        <v>266</v>
      </c>
      <c r="B220" t="s">
        <v>23</v>
      </c>
      <c r="C220" t="s">
        <v>26</v>
      </c>
      <c r="D220" t="s">
        <v>27</v>
      </c>
      <c r="E220" t="s">
        <v>11</v>
      </c>
      <c r="F220" t="s">
        <v>52</v>
      </c>
      <c r="G220" s="3">
        <v>2145</v>
      </c>
      <c r="H220" s="4">
        <v>45860</v>
      </c>
      <c r="I220">
        <v>219</v>
      </c>
      <c r="J220" t="s">
        <v>354</v>
      </c>
    </row>
    <row r="221" spans="1:10">
      <c r="A221" t="s">
        <v>267</v>
      </c>
      <c r="B221" t="s">
        <v>28</v>
      </c>
      <c r="C221" t="s">
        <v>29</v>
      </c>
      <c r="D221" t="s">
        <v>30</v>
      </c>
      <c r="E221" t="s">
        <v>11</v>
      </c>
      <c r="F221" t="s">
        <v>55</v>
      </c>
      <c r="G221" s="3">
        <v>1439</v>
      </c>
      <c r="H221" s="4">
        <v>45861</v>
      </c>
      <c r="I221">
        <v>220</v>
      </c>
      <c r="J221" t="s">
        <v>354</v>
      </c>
    </row>
    <row r="222" spans="1:10">
      <c r="A222" t="s">
        <v>268</v>
      </c>
      <c r="B222" t="s">
        <v>28</v>
      </c>
      <c r="C222" t="s">
        <v>31</v>
      </c>
      <c r="D222" t="s">
        <v>32</v>
      </c>
      <c r="E222" t="s">
        <v>14</v>
      </c>
      <c r="F222" t="s">
        <v>45</v>
      </c>
      <c r="G222" s="3">
        <v>1524</v>
      </c>
      <c r="H222" s="4">
        <v>45862</v>
      </c>
      <c r="I222">
        <v>221</v>
      </c>
      <c r="J222" t="s">
        <v>354</v>
      </c>
    </row>
    <row r="223" spans="1:10">
      <c r="A223" t="s">
        <v>269</v>
      </c>
      <c r="B223" t="s">
        <v>8</v>
      </c>
      <c r="C223" t="s">
        <v>33</v>
      </c>
      <c r="D223" t="s">
        <v>34</v>
      </c>
      <c r="E223" t="s">
        <v>14</v>
      </c>
      <c r="F223" t="s">
        <v>48</v>
      </c>
      <c r="G223" s="3">
        <v>1154</v>
      </c>
      <c r="H223" s="4">
        <v>45863</v>
      </c>
      <c r="I223">
        <v>222</v>
      </c>
      <c r="J223" t="s">
        <v>354</v>
      </c>
    </row>
    <row r="224" spans="1:10">
      <c r="A224" t="s">
        <v>270</v>
      </c>
      <c r="B224" t="s">
        <v>15</v>
      </c>
      <c r="C224" t="s">
        <v>16</v>
      </c>
      <c r="D224" t="s">
        <v>17</v>
      </c>
      <c r="E224" t="s">
        <v>14</v>
      </c>
      <c r="F224" t="s">
        <v>43</v>
      </c>
      <c r="G224" s="3">
        <v>557</v>
      </c>
      <c r="H224" s="4">
        <v>45864</v>
      </c>
      <c r="I224">
        <v>223</v>
      </c>
      <c r="J224" t="s">
        <v>354</v>
      </c>
    </row>
    <row r="225" spans="1:10">
      <c r="A225" t="s">
        <v>271</v>
      </c>
      <c r="B225" t="s">
        <v>18</v>
      </c>
      <c r="C225" t="s">
        <v>19</v>
      </c>
      <c r="D225" t="s">
        <v>20</v>
      </c>
      <c r="E225" t="s">
        <v>14</v>
      </c>
      <c r="F225" t="s">
        <v>43</v>
      </c>
      <c r="G225" s="3">
        <v>4599</v>
      </c>
      <c r="H225" s="4">
        <v>45865</v>
      </c>
      <c r="I225">
        <v>224</v>
      </c>
      <c r="J225" t="s">
        <v>354</v>
      </c>
    </row>
    <row r="226" spans="1:10">
      <c r="A226" t="s">
        <v>272</v>
      </c>
      <c r="B226" t="s">
        <v>23</v>
      </c>
      <c r="C226" t="s">
        <v>21</v>
      </c>
      <c r="D226" t="s">
        <v>22</v>
      </c>
      <c r="E226" t="s">
        <v>14</v>
      </c>
      <c r="F226" t="s">
        <v>45</v>
      </c>
      <c r="G226" s="3">
        <v>2718</v>
      </c>
      <c r="H226" s="4">
        <v>45866</v>
      </c>
      <c r="I226">
        <v>225</v>
      </c>
      <c r="J226" t="s">
        <v>354</v>
      </c>
    </row>
    <row r="227" spans="1:10">
      <c r="A227" t="s">
        <v>273</v>
      </c>
      <c r="B227" t="s">
        <v>28</v>
      </c>
      <c r="C227" t="s">
        <v>9</v>
      </c>
      <c r="D227" t="s">
        <v>10</v>
      </c>
      <c r="E227" t="s">
        <v>11</v>
      </c>
      <c r="F227" t="s">
        <v>43</v>
      </c>
      <c r="G227" s="3">
        <v>4137</v>
      </c>
      <c r="H227" s="4">
        <v>45867</v>
      </c>
      <c r="I227">
        <v>226</v>
      </c>
      <c r="J227" t="s">
        <v>354</v>
      </c>
    </row>
    <row r="228" spans="1:10">
      <c r="A228" t="s">
        <v>274</v>
      </c>
      <c r="B228" t="s">
        <v>8</v>
      </c>
      <c r="C228" t="s">
        <v>12</v>
      </c>
      <c r="D228" t="s">
        <v>13</v>
      </c>
      <c r="E228" t="s">
        <v>14</v>
      </c>
      <c r="F228" t="s">
        <v>48</v>
      </c>
      <c r="G228" s="3">
        <v>2763</v>
      </c>
      <c r="H228" s="4">
        <v>45868</v>
      </c>
      <c r="I228">
        <v>227</v>
      </c>
      <c r="J228" t="s">
        <v>354</v>
      </c>
    </row>
    <row r="229" spans="1:10">
      <c r="A229" t="s">
        <v>275</v>
      </c>
      <c r="B229" t="s">
        <v>15</v>
      </c>
      <c r="C229" t="s">
        <v>9</v>
      </c>
      <c r="D229" t="s">
        <v>10</v>
      </c>
      <c r="E229" t="s">
        <v>11</v>
      </c>
      <c r="F229" t="s">
        <v>50</v>
      </c>
      <c r="G229" s="3">
        <v>4525</v>
      </c>
      <c r="H229" s="4">
        <v>45869</v>
      </c>
      <c r="I229">
        <v>228</v>
      </c>
      <c r="J229" t="s">
        <v>354</v>
      </c>
    </row>
    <row r="230" spans="1:10">
      <c r="A230" t="s">
        <v>276</v>
      </c>
      <c r="B230" t="s">
        <v>18</v>
      </c>
      <c r="C230" t="s">
        <v>16</v>
      </c>
      <c r="D230" t="s">
        <v>17</v>
      </c>
      <c r="E230" t="s">
        <v>14</v>
      </c>
      <c r="F230" t="s">
        <v>52</v>
      </c>
      <c r="G230" s="3">
        <v>4290</v>
      </c>
      <c r="H230" s="4">
        <v>45870</v>
      </c>
      <c r="I230">
        <v>229</v>
      </c>
      <c r="J230" t="s">
        <v>354</v>
      </c>
    </row>
    <row r="231" spans="1:10">
      <c r="A231" t="s">
        <v>277</v>
      </c>
      <c r="B231" t="s">
        <v>23</v>
      </c>
      <c r="C231" t="s">
        <v>19</v>
      </c>
      <c r="D231" t="s">
        <v>20</v>
      </c>
      <c r="E231" t="s">
        <v>14</v>
      </c>
      <c r="F231" t="s">
        <v>45</v>
      </c>
      <c r="G231" s="3">
        <v>4728</v>
      </c>
      <c r="H231" s="4">
        <v>45871</v>
      </c>
      <c r="I231">
        <v>230</v>
      </c>
      <c r="J231" t="s">
        <v>354</v>
      </c>
    </row>
    <row r="232" spans="1:10">
      <c r="A232" t="s">
        <v>278</v>
      </c>
      <c r="B232" t="s">
        <v>28</v>
      </c>
      <c r="C232" t="s">
        <v>21</v>
      </c>
      <c r="D232" t="s">
        <v>22</v>
      </c>
      <c r="E232" t="s">
        <v>14</v>
      </c>
      <c r="F232" t="s">
        <v>55</v>
      </c>
      <c r="G232" s="3">
        <v>4700</v>
      </c>
      <c r="H232" s="4">
        <v>45872</v>
      </c>
      <c r="I232">
        <v>231</v>
      </c>
      <c r="J232" t="s">
        <v>354</v>
      </c>
    </row>
    <row r="233" spans="1:10">
      <c r="A233" t="s">
        <v>279</v>
      </c>
      <c r="B233" t="s">
        <v>8</v>
      </c>
      <c r="C233" t="s">
        <v>12</v>
      </c>
      <c r="D233" t="s">
        <v>13</v>
      </c>
      <c r="E233" t="s">
        <v>14</v>
      </c>
      <c r="F233" t="s">
        <v>45</v>
      </c>
      <c r="G233" s="3">
        <v>772</v>
      </c>
      <c r="H233" s="4">
        <v>45873</v>
      </c>
      <c r="I233">
        <v>232</v>
      </c>
      <c r="J233" t="s">
        <v>354</v>
      </c>
    </row>
    <row r="234" spans="1:10">
      <c r="A234" t="s">
        <v>280</v>
      </c>
      <c r="B234" t="s">
        <v>8</v>
      </c>
      <c r="C234" t="s">
        <v>24</v>
      </c>
      <c r="D234" t="s">
        <v>25</v>
      </c>
      <c r="E234" t="s">
        <v>14</v>
      </c>
      <c r="F234" t="s">
        <v>48</v>
      </c>
      <c r="G234" s="3">
        <v>1773</v>
      </c>
      <c r="H234" s="4">
        <v>45874</v>
      </c>
      <c r="I234">
        <v>233</v>
      </c>
      <c r="J234" t="s">
        <v>354</v>
      </c>
    </row>
    <row r="235" spans="1:10">
      <c r="A235" t="s">
        <v>281</v>
      </c>
      <c r="B235" t="s">
        <v>15</v>
      </c>
      <c r="C235" t="s">
        <v>26</v>
      </c>
      <c r="D235" t="s">
        <v>27</v>
      </c>
      <c r="E235" t="s">
        <v>11</v>
      </c>
      <c r="F235" t="s">
        <v>43</v>
      </c>
      <c r="G235" s="3">
        <v>2830</v>
      </c>
      <c r="H235" s="4">
        <v>45875</v>
      </c>
      <c r="I235">
        <v>234</v>
      </c>
      <c r="J235" t="s">
        <v>354</v>
      </c>
    </row>
    <row r="236" spans="1:10">
      <c r="A236" t="s">
        <v>282</v>
      </c>
      <c r="B236" t="s">
        <v>15</v>
      </c>
      <c r="C236" t="s">
        <v>29</v>
      </c>
      <c r="D236" t="s">
        <v>30</v>
      </c>
      <c r="E236" t="s">
        <v>11</v>
      </c>
      <c r="F236" t="s">
        <v>43</v>
      </c>
      <c r="G236" s="3">
        <v>3963</v>
      </c>
      <c r="H236" s="4">
        <v>45876</v>
      </c>
      <c r="I236">
        <v>235</v>
      </c>
      <c r="J236" t="s">
        <v>354</v>
      </c>
    </row>
    <row r="237" spans="1:10">
      <c r="A237" t="s">
        <v>283</v>
      </c>
      <c r="B237" t="s">
        <v>18</v>
      </c>
      <c r="C237" t="s">
        <v>31</v>
      </c>
      <c r="D237" t="s">
        <v>32</v>
      </c>
      <c r="E237" t="s">
        <v>14</v>
      </c>
      <c r="F237" t="s">
        <v>45</v>
      </c>
      <c r="G237" s="3">
        <v>4489</v>
      </c>
      <c r="H237" s="4">
        <v>45877</v>
      </c>
      <c r="I237">
        <v>236</v>
      </c>
      <c r="J237" t="s">
        <v>354</v>
      </c>
    </row>
    <row r="238" spans="1:10">
      <c r="A238" t="s">
        <v>284</v>
      </c>
      <c r="B238" t="s">
        <v>18</v>
      </c>
      <c r="C238" t="s">
        <v>33</v>
      </c>
      <c r="D238" t="s">
        <v>34</v>
      </c>
      <c r="E238" t="s">
        <v>14</v>
      </c>
      <c r="F238" t="s">
        <v>43</v>
      </c>
      <c r="G238" s="3">
        <v>4306</v>
      </c>
      <c r="H238" s="4">
        <v>45878</v>
      </c>
      <c r="I238">
        <v>237</v>
      </c>
      <c r="J238" t="s">
        <v>354</v>
      </c>
    </row>
    <row r="239" spans="1:10">
      <c r="A239" t="s">
        <v>285</v>
      </c>
      <c r="B239" t="s">
        <v>8</v>
      </c>
      <c r="C239" t="s">
        <v>16</v>
      </c>
      <c r="D239" t="s">
        <v>17</v>
      </c>
      <c r="E239" t="s">
        <v>14</v>
      </c>
      <c r="F239" t="s">
        <v>48</v>
      </c>
      <c r="G239" s="3">
        <v>3085</v>
      </c>
      <c r="H239" s="4">
        <v>45879</v>
      </c>
      <c r="I239">
        <v>238</v>
      </c>
      <c r="J239" t="s">
        <v>354</v>
      </c>
    </row>
    <row r="240" spans="1:10">
      <c r="A240" t="s">
        <v>286</v>
      </c>
      <c r="B240" t="s">
        <v>23</v>
      </c>
      <c r="C240" t="s">
        <v>19</v>
      </c>
      <c r="D240" t="s">
        <v>20</v>
      </c>
      <c r="E240" t="s">
        <v>14</v>
      </c>
      <c r="F240" t="s">
        <v>50</v>
      </c>
      <c r="G240" s="3">
        <v>1110</v>
      </c>
      <c r="H240" s="4">
        <v>45880</v>
      </c>
      <c r="I240">
        <v>239</v>
      </c>
      <c r="J240" t="s">
        <v>354</v>
      </c>
    </row>
    <row r="241" spans="1:10">
      <c r="A241" t="s">
        <v>287</v>
      </c>
      <c r="B241" t="s">
        <v>23</v>
      </c>
      <c r="C241" t="s">
        <v>21</v>
      </c>
      <c r="D241" t="s">
        <v>22</v>
      </c>
      <c r="E241" t="s">
        <v>14</v>
      </c>
      <c r="F241" t="s">
        <v>52</v>
      </c>
      <c r="G241" s="3">
        <v>3196</v>
      </c>
      <c r="H241" s="4">
        <v>45881</v>
      </c>
      <c r="I241">
        <v>240</v>
      </c>
      <c r="J241" t="s">
        <v>354</v>
      </c>
    </row>
    <row r="242" spans="1:10">
      <c r="A242" t="s">
        <v>288</v>
      </c>
      <c r="B242" t="s">
        <v>28</v>
      </c>
      <c r="C242" t="s">
        <v>9</v>
      </c>
      <c r="D242" t="s">
        <v>10</v>
      </c>
      <c r="E242" t="s">
        <v>11</v>
      </c>
      <c r="F242" t="s">
        <v>45</v>
      </c>
      <c r="G242" s="3">
        <v>3520</v>
      </c>
      <c r="H242" s="4">
        <v>45882</v>
      </c>
      <c r="I242">
        <v>241</v>
      </c>
      <c r="J242" t="s">
        <v>354</v>
      </c>
    </row>
    <row r="243" spans="1:10">
      <c r="A243" t="s">
        <v>289</v>
      </c>
      <c r="B243" t="s">
        <v>28</v>
      </c>
      <c r="C243" t="s">
        <v>12</v>
      </c>
      <c r="D243" t="s">
        <v>13</v>
      </c>
      <c r="E243" t="s">
        <v>14</v>
      </c>
      <c r="F243" t="s">
        <v>55</v>
      </c>
      <c r="G243" s="3">
        <v>1956</v>
      </c>
      <c r="H243" s="4">
        <v>45883</v>
      </c>
      <c r="I243">
        <v>242</v>
      </c>
      <c r="J243" t="s">
        <v>354</v>
      </c>
    </row>
    <row r="244" spans="1:10">
      <c r="A244" t="s">
        <v>290</v>
      </c>
      <c r="B244" t="s">
        <v>8</v>
      </c>
      <c r="C244" t="s">
        <v>9</v>
      </c>
      <c r="D244" t="s">
        <v>10</v>
      </c>
      <c r="E244" t="s">
        <v>11</v>
      </c>
      <c r="F244" t="s">
        <v>45</v>
      </c>
      <c r="G244" s="3">
        <v>4035</v>
      </c>
      <c r="H244" s="4">
        <v>45884</v>
      </c>
      <c r="I244">
        <v>243</v>
      </c>
      <c r="J244" t="s">
        <v>354</v>
      </c>
    </row>
    <row r="245" spans="1:10">
      <c r="A245" t="s">
        <v>291</v>
      </c>
      <c r="B245" t="s">
        <v>15</v>
      </c>
      <c r="C245" t="s">
        <v>16</v>
      </c>
      <c r="D245" t="s">
        <v>17</v>
      </c>
      <c r="E245" t="s">
        <v>14</v>
      </c>
      <c r="F245" t="s">
        <v>48</v>
      </c>
      <c r="G245" s="3">
        <v>4436</v>
      </c>
      <c r="H245" s="4">
        <v>45885</v>
      </c>
      <c r="I245">
        <v>244</v>
      </c>
      <c r="J245" t="s">
        <v>354</v>
      </c>
    </row>
    <row r="246" spans="1:10">
      <c r="A246" t="s">
        <v>292</v>
      </c>
      <c r="B246" t="s">
        <v>18</v>
      </c>
      <c r="C246" t="s">
        <v>19</v>
      </c>
      <c r="D246" t="s">
        <v>20</v>
      </c>
      <c r="E246" t="s">
        <v>14</v>
      </c>
      <c r="F246" t="s">
        <v>43</v>
      </c>
      <c r="G246" s="3">
        <v>3522</v>
      </c>
      <c r="H246" s="4">
        <v>45886</v>
      </c>
      <c r="I246">
        <v>245</v>
      </c>
      <c r="J246" t="s">
        <v>354</v>
      </c>
    </row>
    <row r="247" spans="1:10">
      <c r="A247" t="s">
        <v>293</v>
      </c>
      <c r="B247" t="s">
        <v>23</v>
      </c>
      <c r="C247" t="s">
        <v>21</v>
      </c>
      <c r="D247" t="s">
        <v>22</v>
      </c>
      <c r="E247" t="s">
        <v>14</v>
      </c>
      <c r="F247" t="s">
        <v>50</v>
      </c>
      <c r="G247" s="3">
        <v>711</v>
      </c>
      <c r="H247" s="4">
        <v>45887</v>
      </c>
      <c r="I247">
        <v>246</v>
      </c>
      <c r="J247" t="s">
        <v>354</v>
      </c>
    </row>
    <row r="248" spans="1:10">
      <c r="A248" t="s">
        <v>294</v>
      </c>
      <c r="B248" t="s">
        <v>28</v>
      </c>
      <c r="C248" t="s">
        <v>12</v>
      </c>
      <c r="D248" t="s">
        <v>13</v>
      </c>
      <c r="E248" t="s">
        <v>14</v>
      </c>
      <c r="F248" t="s">
        <v>48</v>
      </c>
      <c r="G248" s="3">
        <v>4895</v>
      </c>
      <c r="H248" s="4">
        <v>45888</v>
      </c>
      <c r="I248">
        <v>247</v>
      </c>
      <c r="J248" t="s">
        <v>354</v>
      </c>
    </row>
    <row r="249" spans="1:10">
      <c r="A249" t="s">
        <v>295</v>
      </c>
      <c r="B249" t="s">
        <v>8</v>
      </c>
      <c r="C249" t="s">
        <v>24</v>
      </c>
      <c r="D249" t="s">
        <v>25</v>
      </c>
      <c r="E249" t="s">
        <v>14</v>
      </c>
      <c r="F249" t="s">
        <v>50</v>
      </c>
      <c r="G249" s="3">
        <v>3105</v>
      </c>
      <c r="H249" s="4">
        <v>45889</v>
      </c>
      <c r="I249">
        <v>248</v>
      </c>
      <c r="J249" t="s">
        <v>354</v>
      </c>
    </row>
    <row r="250" spans="1:10">
      <c r="A250" t="s">
        <v>296</v>
      </c>
      <c r="B250" t="s">
        <v>15</v>
      </c>
      <c r="C250" t="s">
        <v>26</v>
      </c>
      <c r="D250" t="s">
        <v>27</v>
      </c>
      <c r="E250" t="s">
        <v>11</v>
      </c>
      <c r="F250" t="s">
        <v>52</v>
      </c>
      <c r="G250" s="3">
        <v>2610</v>
      </c>
      <c r="H250" s="4">
        <v>45890</v>
      </c>
      <c r="I250">
        <v>249</v>
      </c>
      <c r="J250" t="s">
        <v>354</v>
      </c>
    </row>
    <row r="251" spans="1:10">
      <c r="A251" t="s">
        <v>297</v>
      </c>
      <c r="B251" t="s">
        <v>18</v>
      </c>
      <c r="C251" t="s">
        <v>29</v>
      </c>
      <c r="D251" t="s">
        <v>30</v>
      </c>
      <c r="E251" t="s">
        <v>11</v>
      </c>
      <c r="F251" t="s">
        <v>55</v>
      </c>
      <c r="G251" s="3">
        <v>3123</v>
      </c>
      <c r="H251" s="4">
        <v>45891</v>
      </c>
      <c r="I251">
        <v>250</v>
      </c>
      <c r="J251" t="s">
        <v>354</v>
      </c>
    </row>
    <row r="252" spans="1:10">
      <c r="A252" t="s">
        <v>298</v>
      </c>
      <c r="B252" t="s">
        <v>23</v>
      </c>
      <c r="C252" t="s">
        <v>31</v>
      </c>
      <c r="D252" t="s">
        <v>32</v>
      </c>
      <c r="E252" t="s">
        <v>14</v>
      </c>
      <c r="F252" t="s">
        <v>45</v>
      </c>
      <c r="G252" s="3">
        <v>1243</v>
      </c>
      <c r="H252" s="4">
        <v>45892</v>
      </c>
      <c r="I252">
        <v>251</v>
      </c>
      <c r="J252" t="s">
        <v>354</v>
      </c>
    </row>
    <row r="253" spans="1:10">
      <c r="A253" t="s">
        <v>299</v>
      </c>
      <c r="B253" t="s">
        <v>28</v>
      </c>
      <c r="C253" t="s">
        <v>33</v>
      </c>
      <c r="D253" t="s">
        <v>34</v>
      </c>
      <c r="E253" t="s">
        <v>14</v>
      </c>
      <c r="F253" t="s">
        <v>48</v>
      </c>
      <c r="G253" s="3">
        <v>1865</v>
      </c>
      <c r="H253" s="4">
        <v>45893</v>
      </c>
      <c r="I253">
        <v>252</v>
      </c>
      <c r="J253" t="s">
        <v>354</v>
      </c>
    </row>
    <row r="254" spans="1:10">
      <c r="A254" t="s">
        <v>300</v>
      </c>
      <c r="B254" t="s">
        <v>8</v>
      </c>
      <c r="C254" t="s">
        <v>16</v>
      </c>
      <c r="D254" t="s">
        <v>17</v>
      </c>
      <c r="E254" t="s">
        <v>14</v>
      </c>
      <c r="F254" t="s">
        <v>43</v>
      </c>
      <c r="G254" s="3">
        <v>551</v>
      </c>
      <c r="H254" s="4">
        <v>45894</v>
      </c>
      <c r="I254">
        <v>253</v>
      </c>
      <c r="J254" t="s">
        <v>354</v>
      </c>
    </row>
    <row r="255" spans="1:10">
      <c r="A255" t="s">
        <v>301</v>
      </c>
      <c r="B255" t="s">
        <v>8</v>
      </c>
      <c r="C255" t="s">
        <v>19</v>
      </c>
      <c r="D255" t="s">
        <v>20</v>
      </c>
      <c r="E255" t="s">
        <v>14</v>
      </c>
      <c r="F255" t="s">
        <v>43</v>
      </c>
      <c r="G255" s="3">
        <v>1515</v>
      </c>
      <c r="H255" s="4">
        <v>45895</v>
      </c>
      <c r="I255">
        <v>254</v>
      </c>
      <c r="J255" t="s">
        <v>354</v>
      </c>
    </row>
    <row r="256" spans="1:10">
      <c r="A256" t="s">
        <v>302</v>
      </c>
      <c r="B256" t="s">
        <v>15</v>
      </c>
      <c r="C256" t="s">
        <v>21</v>
      </c>
      <c r="D256" t="s">
        <v>22</v>
      </c>
      <c r="E256" t="s">
        <v>14</v>
      </c>
      <c r="F256" t="s">
        <v>45</v>
      </c>
      <c r="G256" s="3">
        <v>2801</v>
      </c>
      <c r="H256" s="4">
        <v>45896</v>
      </c>
      <c r="I256">
        <v>255</v>
      </c>
      <c r="J256" t="s">
        <v>354</v>
      </c>
    </row>
    <row r="257" spans="1:10">
      <c r="A257" t="s">
        <v>303</v>
      </c>
      <c r="B257" t="s">
        <v>15</v>
      </c>
      <c r="C257" t="s">
        <v>9</v>
      </c>
      <c r="D257" t="s">
        <v>10</v>
      </c>
      <c r="E257" t="s">
        <v>11</v>
      </c>
      <c r="F257" t="s">
        <v>43</v>
      </c>
      <c r="G257" s="3">
        <v>1020</v>
      </c>
      <c r="H257" s="4">
        <v>45897</v>
      </c>
      <c r="I257">
        <v>256</v>
      </c>
      <c r="J257" t="s">
        <v>354</v>
      </c>
    </row>
    <row r="258" spans="1:10">
      <c r="A258" t="s">
        <v>304</v>
      </c>
      <c r="B258" t="s">
        <v>18</v>
      </c>
      <c r="C258" t="s">
        <v>12</v>
      </c>
      <c r="D258" t="s">
        <v>13</v>
      </c>
      <c r="E258" t="s">
        <v>14</v>
      </c>
      <c r="F258" t="s">
        <v>45</v>
      </c>
      <c r="G258" s="3">
        <v>3882</v>
      </c>
      <c r="H258" s="4">
        <v>45898</v>
      </c>
      <c r="I258">
        <v>257</v>
      </c>
      <c r="J258" t="s">
        <v>354</v>
      </c>
    </row>
    <row r="259" spans="1:10">
      <c r="A259" t="s">
        <v>305</v>
      </c>
      <c r="B259" t="s">
        <v>18</v>
      </c>
      <c r="C259" t="s">
        <v>9</v>
      </c>
      <c r="D259" t="s">
        <v>10</v>
      </c>
      <c r="E259" t="s">
        <v>11</v>
      </c>
      <c r="F259" t="s">
        <v>43</v>
      </c>
      <c r="G259" s="3">
        <v>1979</v>
      </c>
      <c r="H259" s="4">
        <v>45899</v>
      </c>
      <c r="I259">
        <v>258</v>
      </c>
      <c r="J259" t="s">
        <v>354</v>
      </c>
    </row>
    <row r="260" spans="1:10">
      <c r="A260" t="s">
        <v>306</v>
      </c>
      <c r="B260" t="s">
        <v>8</v>
      </c>
      <c r="C260" t="s">
        <v>16</v>
      </c>
      <c r="D260" t="s">
        <v>17</v>
      </c>
      <c r="E260" t="s">
        <v>14</v>
      </c>
      <c r="F260" t="s">
        <v>48</v>
      </c>
      <c r="G260" s="3">
        <v>3372</v>
      </c>
      <c r="H260" s="4">
        <v>45900</v>
      </c>
      <c r="I260">
        <v>259</v>
      </c>
      <c r="J260" t="s">
        <v>354</v>
      </c>
    </row>
    <row r="261" spans="1:10">
      <c r="A261" t="s">
        <v>307</v>
      </c>
      <c r="B261" t="s">
        <v>23</v>
      </c>
      <c r="C261" t="s">
        <v>19</v>
      </c>
      <c r="D261" t="s">
        <v>20</v>
      </c>
      <c r="E261" t="s">
        <v>14</v>
      </c>
      <c r="F261" t="s">
        <v>50</v>
      </c>
      <c r="G261" s="3">
        <v>778</v>
      </c>
      <c r="H261" s="4">
        <v>45901</v>
      </c>
      <c r="I261">
        <v>260</v>
      </c>
      <c r="J261" t="s">
        <v>354</v>
      </c>
    </row>
    <row r="262" spans="1:10">
      <c r="A262" t="s">
        <v>308</v>
      </c>
      <c r="B262" t="s">
        <v>23</v>
      </c>
      <c r="C262" t="s">
        <v>21</v>
      </c>
      <c r="D262" t="s">
        <v>22</v>
      </c>
      <c r="E262" t="s">
        <v>14</v>
      </c>
      <c r="F262" t="s">
        <v>52</v>
      </c>
      <c r="G262" s="3">
        <v>4676</v>
      </c>
      <c r="H262" s="4">
        <v>45902</v>
      </c>
      <c r="I262">
        <v>261</v>
      </c>
      <c r="J262" t="s">
        <v>354</v>
      </c>
    </row>
    <row r="263" spans="1:10">
      <c r="A263" t="s">
        <v>309</v>
      </c>
      <c r="B263" t="s">
        <v>28</v>
      </c>
      <c r="C263" t="s">
        <v>12</v>
      </c>
      <c r="D263" t="s">
        <v>13</v>
      </c>
      <c r="E263" t="s">
        <v>14</v>
      </c>
      <c r="F263" t="s">
        <v>45</v>
      </c>
      <c r="G263" s="3">
        <v>4952</v>
      </c>
      <c r="H263" s="4">
        <v>45903</v>
      </c>
      <c r="I263">
        <v>262</v>
      </c>
      <c r="J263" t="s">
        <v>354</v>
      </c>
    </row>
    <row r="264" spans="1:10">
      <c r="A264" t="s">
        <v>310</v>
      </c>
      <c r="B264" t="s">
        <v>28</v>
      </c>
      <c r="C264" t="s">
        <v>24</v>
      </c>
      <c r="D264" t="s">
        <v>25</v>
      </c>
      <c r="E264" t="s">
        <v>14</v>
      </c>
      <c r="F264" t="s">
        <v>55</v>
      </c>
      <c r="G264" s="3">
        <v>1681</v>
      </c>
      <c r="H264" s="4">
        <v>45904</v>
      </c>
      <c r="I264">
        <v>263</v>
      </c>
      <c r="J264" t="s">
        <v>354</v>
      </c>
    </row>
    <row r="265" spans="1:10">
      <c r="A265" t="s">
        <v>311</v>
      </c>
      <c r="B265" t="s">
        <v>8</v>
      </c>
      <c r="C265" t="s">
        <v>26</v>
      </c>
      <c r="D265" t="s">
        <v>27</v>
      </c>
      <c r="E265" t="s">
        <v>11</v>
      </c>
      <c r="F265" t="s">
        <v>45</v>
      </c>
      <c r="G265" s="3">
        <v>3609</v>
      </c>
      <c r="H265" s="4">
        <v>45905</v>
      </c>
      <c r="I265">
        <v>264</v>
      </c>
      <c r="J265" t="s">
        <v>354</v>
      </c>
    </row>
    <row r="266" spans="1:10">
      <c r="A266" t="s">
        <v>312</v>
      </c>
      <c r="B266" t="s">
        <v>15</v>
      </c>
      <c r="C266" t="s">
        <v>29</v>
      </c>
      <c r="D266" t="s">
        <v>30</v>
      </c>
      <c r="E266" t="s">
        <v>11</v>
      </c>
      <c r="F266" t="s">
        <v>48</v>
      </c>
      <c r="G266" s="3">
        <v>4355</v>
      </c>
      <c r="H266" s="4">
        <v>45906</v>
      </c>
      <c r="I266">
        <v>265</v>
      </c>
      <c r="J266" t="s">
        <v>354</v>
      </c>
    </row>
    <row r="267" spans="1:10">
      <c r="A267" t="s">
        <v>313</v>
      </c>
      <c r="B267" t="s">
        <v>18</v>
      </c>
      <c r="C267" t="s">
        <v>31</v>
      </c>
      <c r="D267" t="s">
        <v>32</v>
      </c>
      <c r="E267" t="s">
        <v>14</v>
      </c>
      <c r="F267" t="s">
        <v>43</v>
      </c>
      <c r="G267" s="3">
        <v>1357</v>
      </c>
      <c r="H267" s="4">
        <v>45907</v>
      </c>
      <c r="I267">
        <v>266</v>
      </c>
      <c r="J267" t="s">
        <v>354</v>
      </c>
    </row>
    <row r="268" spans="1:10">
      <c r="A268" t="s">
        <v>314</v>
      </c>
      <c r="B268" t="s">
        <v>23</v>
      </c>
      <c r="C268" t="s">
        <v>33</v>
      </c>
      <c r="D268" t="s">
        <v>34</v>
      </c>
      <c r="E268" t="s">
        <v>14</v>
      </c>
      <c r="F268" t="s">
        <v>50</v>
      </c>
      <c r="G268" s="3">
        <v>1590</v>
      </c>
      <c r="H268" s="4">
        <v>45908</v>
      </c>
      <c r="I268">
        <v>267</v>
      </c>
      <c r="J268" t="s">
        <v>354</v>
      </c>
    </row>
    <row r="269" spans="1:10">
      <c r="A269" t="s">
        <v>315</v>
      </c>
      <c r="B269" t="s">
        <v>28</v>
      </c>
      <c r="C269" t="s">
        <v>16</v>
      </c>
      <c r="D269" t="s">
        <v>17</v>
      </c>
      <c r="E269" t="s">
        <v>14</v>
      </c>
      <c r="F269" t="s">
        <v>48</v>
      </c>
      <c r="G269" s="3">
        <v>923</v>
      </c>
      <c r="H269" s="4">
        <v>45909</v>
      </c>
      <c r="I269">
        <v>268</v>
      </c>
      <c r="J269" t="s">
        <v>354</v>
      </c>
    </row>
    <row r="270" spans="1:10">
      <c r="A270" t="s">
        <v>316</v>
      </c>
      <c r="B270" t="s">
        <v>8</v>
      </c>
      <c r="C270" t="s">
        <v>19</v>
      </c>
      <c r="D270" t="s">
        <v>20</v>
      </c>
      <c r="E270" t="s">
        <v>14</v>
      </c>
      <c r="F270" t="s">
        <v>50</v>
      </c>
      <c r="G270" s="3">
        <v>1103</v>
      </c>
      <c r="H270" s="4">
        <v>45910</v>
      </c>
      <c r="I270">
        <v>269</v>
      </c>
      <c r="J270" t="s">
        <v>354</v>
      </c>
    </row>
    <row r="271" spans="1:10">
      <c r="A271" t="s">
        <v>317</v>
      </c>
      <c r="B271" t="s">
        <v>15</v>
      </c>
      <c r="C271" t="s">
        <v>21</v>
      </c>
      <c r="D271" t="s">
        <v>22</v>
      </c>
      <c r="E271" t="s">
        <v>14</v>
      </c>
      <c r="F271" t="s">
        <v>52</v>
      </c>
      <c r="G271" s="3">
        <v>4911</v>
      </c>
      <c r="H271" s="4">
        <v>45911</v>
      </c>
      <c r="I271">
        <v>270</v>
      </c>
      <c r="J271" t="s">
        <v>354</v>
      </c>
    </row>
    <row r="272" spans="1:10">
      <c r="A272" t="s">
        <v>318</v>
      </c>
      <c r="B272" t="s">
        <v>18</v>
      </c>
      <c r="C272" t="s">
        <v>9</v>
      </c>
      <c r="D272" t="s">
        <v>10</v>
      </c>
      <c r="E272" t="s">
        <v>11</v>
      </c>
      <c r="F272" t="s">
        <v>55</v>
      </c>
      <c r="G272" s="3">
        <v>1064</v>
      </c>
      <c r="H272" s="4">
        <v>45912</v>
      </c>
      <c r="I272">
        <v>271</v>
      </c>
      <c r="J272" t="s">
        <v>354</v>
      </c>
    </row>
    <row r="273" spans="1:18">
      <c r="A273" t="s">
        <v>319</v>
      </c>
      <c r="B273" t="s">
        <v>23</v>
      </c>
      <c r="C273" t="s">
        <v>12</v>
      </c>
      <c r="D273" t="s">
        <v>13</v>
      </c>
      <c r="E273" t="s">
        <v>14</v>
      </c>
      <c r="F273" t="s">
        <v>45</v>
      </c>
      <c r="G273" s="3">
        <v>4199</v>
      </c>
      <c r="H273" s="4">
        <v>45913</v>
      </c>
      <c r="I273">
        <v>272</v>
      </c>
      <c r="J273" t="s">
        <v>354</v>
      </c>
    </row>
    <row r="274" spans="1:18">
      <c r="A274" t="s">
        <v>320</v>
      </c>
      <c r="B274" t="s">
        <v>28</v>
      </c>
      <c r="C274" t="s">
        <v>9</v>
      </c>
      <c r="D274" t="s">
        <v>10</v>
      </c>
      <c r="E274" t="s">
        <v>11</v>
      </c>
      <c r="F274" t="s">
        <v>48</v>
      </c>
      <c r="G274" s="3">
        <v>1361</v>
      </c>
      <c r="H274" s="4">
        <v>45914</v>
      </c>
      <c r="I274">
        <v>273</v>
      </c>
      <c r="J274" t="s">
        <v>354</v>
      </c>
    </row>
    <row r="275" spans="1:18">
      <c r="A275" t="s">
        <v>321</v>
      </c>
      <c r="B275" t="s">
        <v>8</v>
      </c>
      <c r="C275" t="s">
        <v>16</v>
      </c>
      <c r="D275" t="s">
        <v>17</v>
      </c>
      <c r="E275" t="s">
        <v>14</v>
      </c>
      <c r="F275" t="s">
        <v>43</v>
      </c>
      <c r="G275" s="3">
        <v>2339</v>
      </c>
      <c r="H275" s="4">
        <v>45915</v>
      </c>
      <c r="I275">
        <v>274</v>
      </c>
      <c r="J275" t="s">
        <v>354</v>
      </c>
    </row>
    <row r="276" spans="1:18">
      <c r="A276" t="s">
        <v>322</v>
      </c>
      <c r="B276" t="s">
        <v>8</v>
      </c>
      <c r="C276" t="s">
        <v>19</v>
      </c>
      <c r="D276" t="s">
        <v>20</v>
      </c>
      <c r="E276" t="s">
        <v>14</v>
      </c>
      <c r="F276" t="s">
        <v>43</v>
      </c>
      <c r="G276" s="3">
        <v>4586</v>
      </c>
      <c r="H276" s="4">
        <v>45916</v>
      </c>
      <c r="I276">
        <v>275</v>
      </c>
      <c r="J276" t="s">
        <v>354</v>
      </c>
      <c r="R276" s="4"/>
    </row>
    <row r="277" spans="1:18">
      <c r="A277" t="s">
        <v>323</v>
      </c>
      <c r="B277" t="s">
        <v>15</v>
      </c>
      <c r="C277" t="s">
        <v>21</v>
      </c>
      <c r="D277" t="s">
        <v>22</v>
      </c>
      <c r="E277" t="s">
        <v>14</v>
      </c>
      <c r="F277" t="s">
        <v>45</v>
      </c>
      <c r="G277" s="3">
        <v>1264</v>
      </c>
      <c r="H277" s="4">
        <v>45917</v>
      </c>
      <c r="I277">
        <v>276</v>
      </c>
      <c r="J277" t="s">
        <v>354</v>
      </c>
      <c r="R277" s="4"/>
    </row>
    <row r="278" spans="1:18">
      <c r="A278" t="s">
        <v>324</v>
      </c>
      <c r="B278" t="s">
        <v>15</v>
      </c>
      <c r="C278" t="s">
        <v>12</v>
      </c>
      <c r="D278" t="s">
        <v>13</v>
      </c>
      <c r="E278" t="s">
        <v>14</v>
      </c>
      <c r="F278" t="s">
        <v>43</v>
      </c>
      <c r="G278" s="3">
        <v>1513</v>
      </c>
      <c r="H278" s="4">
        <v>45918</v>
      </c>
      <c r="I278">
        <v>277</v>
      </c>
      <c r="J278" t="s">
        <v>354</v>
      </c>
      <c r="R278" s="4"/>
    </row>
    <row r="279" spans="1:18">
      <c r="A279" t="s">
        <v>325</v>
      </c>
      <c r="B279" t="s">
        <v>18</v>
      </c>
      <c r="C279" t="s">
        <v>24</v>
      </c>
      <c r="D279" t="s">
        <v>25</v>
      </c>
      <c r="E279" t="s">
        <v>14</v>
      </c>
      <c r="F279" t="s">
        <v>48</v>
      </c>
      <c r="G279" s="3">
        <v>3125</v>
      </c>
      <c r="H279" s="4">
        <v>45919</v>
      </c>
      <c r="I279">
        <v>278</v>
      </c>
      <c r="J279" t="s">
        <v>354</v>
      </c>
      <c r="R279" s="4"/>
    </row>
    <row r="280" spans="1:18">
      <c r="A280" t="s">
        <v>326</v>
      </c>
      <c r="B280" t="s">
        <v>18</v>
      </c>
      <c r="C280" t="s">
        <v>26</v>
      </c>
      <c r="D280" t="s">
        <v>27</v>
      </c>
      <c r="E280" t="s">
        <v>11</v>
      </c>
      <c r="F280" t="s">
        <v>50</v>
      </c>
      <c r="G280" s="3">
        <v>536</v>
      </c>
      <c r="H280" s="4">
        <v>45920</v>
      </c>
      <c r="I280">
        <v>279</v>
      </c>
      <c r="J280" t="s">
        <v>354</v>
      </c>
      <c r="R280" s="4"/>
    </row>
    <row r="281" spans="1:18">
      <c r="A281" t="s">
        <v>327</v>
      </c>
      <c r="B281" t="s">
        <v>8</v>
      </c>
      <c r="C281" t="s">
        <v>29</v>
      </c>
      <c r="D281" t="s">
        <v>30</v>
      </c>
      <c r="E281" t="s">
        <v>11</v>
      </c>
      <c r="F281" t="s">
        <v>52</v>
      </c>
      <c r="G281" s="3">
        <v>3207</v>
      </c>
      <c r="H281" s="4">
        <v>45921</v>
      </c>
      <c r="I281">
        <v>280</v>
      </c>
      <c r="J281" t="s">
        <v>354</v>
      </c>
      <c r="R281" s="4"/>
    </row>
    <row r="282" spans="1:18">
      <c r="A282" t="s">
        <v>328</v>
      </c>
      <c r="B282" t="s">
        <v>23</v>
      </c>
      <c r="C282" t="s">
        <v>31</v>
      </c>
      <c r="D282" t="s">
        <v>32</v>
      </c>
      <c r="E282" t="s">
        <v>14</v>
      </c>
      <c r="F282" t="s">
        <v>45</v>
      </c>
      <c r="G282" s="3">
        <v>2469</v>
      </c>
      <c r="H282" s="4">
        <v>45922</v>
      </c>
      <c r="I282">
        <v>281</v>
      </c>
      <c r="J282" t="s">
        <v>354</v>
      </c>
      <c r="R282" s="4"/>
    </row>
    <row r="283" spans="1:18">
      <c r="A283" t="s">
        <v>329</v>
      </c>
      <c r="B283" t="s">
        <v>23</v>
      </c>
      <c r="C283" t="s">
        <v>33</v>
      </c>
      <c r="D283" t="s">
        <v>34</v>
      </c>
      <c r="E283" t="s">
        <v>14</v>
      </c>
      <c r="F283" t="s">
        <v>55</v>
      </c>
      <c r="G283" s="3">
        <v>1320</v>
      </c>
      <c r="H283" s="4">
        <v>45923</v>
      </c>
      <c r="I283">
        <v>282</v>
      </c>
      <c r="J283" t="s">
        <v>354</v>
      </c>
      <c r="R283" s="4"/>
    </row>
    <row r="284" spans="1:18">
      <c r="A284" t="s">
        <v>330</v>
      </c>
      <c r="B284" t="s">
        <v>28</v>
      </c>
      <c r="C284" t="s">
        <v>16</v>
      </c>
      <c r="D284" t="s">
        <v>17</v>
      </c>
      <c r="E284" t="s">
        <v>14</v>
      </c>
      <c r="F284" t="s">
        <v>45</v>
      </c>
      <c r="G284" s="3">
        <v>1603</v>
      </c>
      <c r="H284" s="4">
        <v>45924</v>
      </c>
      <c r="I284">
        <v>283</v>
      </c>
      <c r="J284" t="s">
        <v>354</v>
      </c>
      <c r="R284" s="4"/>
    </row>
    <row r="285" spans="1:18">
      <c r="A285" t="s">
        <v>331</v>
      </c>
      <c r="B285" t="s">
        <v>28</v>
      </c>
      <c r="C285" t="s">
        <v>19</v>
      </c>
      <c r="D285" t="s">
        <v>20</v>
      </c>
      <c r="E285" t="s">
        <v>14</v>
      </c>
      <c r="F285" t="s">
        <v>48</v>
      </c>
      <c r="G285" s="3">
        <v>3343</v>
      </c>
      <c r="H285" s="4">
        <v>45925</v>
      </c>
      <c r="I285">
        <v>284</v>
      </c>
      <c r="J285" t="s">
        <v>354</v>
      </c>
      <c r="R285" s="4"/>
    </row>
    <row r="286" spans="1:18">
      <c r="A286" t="s">
        <v>332</v>
      </c>
      <c r="B286" t="s">
        <v>8</v>
      </c>
      <c r="C286" t="s">
        <v>21</v>
      </c>
      <c r="D286" t="s">
        <v>22</v>
      </c>
      <c r="E286" t="s">
        <v>14</v>
      </c>
      <c r="F286" t="s">
        <v>43</v>
      </c>
      <c r="G286" s="3">
        <v>2260</v>
      </c>
      <c r="H286" s="4">
        <v>45926</v>
      </c>
      <c r="I286">
        <v>285</v>
      </c>
      <c r="J286" t="s">
        <v>354</v>
      </c>
      <c r="R286" s="4"/>
    </row>
    <row r="287" spans="1:18">
      <c r="A287" t="s">
        <v>333</v>
      </c>
      <c r="B287" t="s">
        <v>15</v>
      </c>
      <c r="C287" t="s">
        <v>9</v>
      </c>
      <c r="D287" t="s">
        <v>10</v>
      </c>
      <c r="E287" t="s">
        <v>11</v>
      </c>
      <c r="F287" t="s">
        <v>43</v>
      </c>
      <c r="G287" s="3">
        <v>656</v>
      </c>
      <c r="H287" s="4">
        <v>45927</v>
      </c>
      <c r="I287">
        <v>286</v>
      </c>
      <c r="J287" t="s">
        <v>354</v>
      </c>
      <c r="R287" s="4"/>
    </row>
    <row r="288" spans="1:18">
      <c r="A288" t="s">
        <v>334</v>
      </c>
      <c r="B288" t="s">
        <v>18</v>
      </c>
      <c r="C288" t="s">
        <v>12</v>
      </c>
      <c r="D288" t="s">
        <v>13</v>
      </c>
      <c r="E288" t="s">
        <v>14</v>
      </c>
      <c r="F288" t="s">
        <v>45</v>
      </c>
      <c r="G288" s="3">
        <v>2097</v>
      </c>
      <c r="H288" s="4">
        <v>45928</v>
      </c>
      <c r="I288">
        <v>287</v>
      </c>
      <c r="J288" t="s">
        <v>354</v>
      </c>
      <c r="R288" s="4"/>
    </row>
    <row r="289" spans="1:18">
      <c r="A289" t="s">
        <v>335</v>
      </c>
      <c r="B289" t="s">
        <v>23</v>
      </c>
      <c r="C289" t="s">
        <v>9</v>
      </c>
      <c r="D289" t="s">
        <v>10</v>
      </c>
      <c r="E289" t="s">
        <v>11</v>
      </c>
      <c r="F289" t="s">
        <v>43</v>
      </c>
      <c r="G289" s="3">
        <v>2853</v>
      </c>
      <c r="H289" s="4">
        <v>45929</v>
      </c>
      <c r="I289">
        <v>288</v>
      </c>
      <c r="J289" t="s">
        <v>354</v>
      </c>
      <c r="R289" s="4"/>
    </row>
    <row r="290" spans="1:18">
      <c r="A290" t="s">
        <v>336</v>
      </c>
      <c r="B290" t="s">
        <v>28</v>
      </c>
      <c r="C290" t="s">
        <v>16</v>
      </c>
      <c r="D290" t="s">
        <v>17</v>
      </c>
      <c r="E290" t="s">
        <v>14</v>
      </c>
      <c r="F290" t="s">
        <v>48</v>
      </c>
      <c r="G290" s="3">
        <v>4282</v>
      </c>
      <c r="H290" s="4">
        <v>45930</v>
      </c>
      <c r="I290">
        <v>289</v>
      </c>
      <c r="J290" t="s">
        <v>354</v>
      </c>
      <c r="R290" s="4"/>
    </row>
    <row r="291" spans="1:18">
      <c r="A291" t="s">
        <v>337</v>
      </c>
      <c r="B291" t="s">
        <v>8</v>
      </c>
      <c r="C291" t="s">
        <v>19</v>
      </c>
      <c r="D291" t="s">
        <v>20</v>
      </c>
      <c r="E291" t="s">
        <v>14</v>
      </c>
      <c r="F291" t="s">
        <v>50</v>
      </c>
      <c r="G291" s="3">
        <v>2921</v>
      </c>
      <c r="H291" s="4">
        <v>45931</v>
      </c>
      <c r="I291">
        <v>290</v>
      </c>
      <c r="J291" t="s">
        <v>354</v>
      </c>
      <c r="R291" s="4"/>
    </row>
    <row r="292" spans="1:18">
      <c r="A292" t="s">
        <v>338</v>
      </c>
      <c r="B292" t="s">
        <v>15</v>
      </c>
      <c r="C292" t="s">
        <v>21</v>
      </c>
      <c r="D292" t="s">
        <v>22</v>
      </c>
      <c r="E292" t="s">
        <v>14</v>
      </c>
      <c r="F292" t="s">
        <v>52</v>
      </c>
      <c r="G292" s="3">
        <v>2969</v>
      </c>
      <c r="H292" s="4">
        <v>45932</v>
      </c>
      <c r="I292">
        <v>291</v>
      </c>
      <c r="J292" t="s">
        <v>354</v>
      </c>
      <c r="R292" s="4"/>
    </row>
    <row r="293" spans="1:18">
      <c r="A293" t="s">
        <v>339</v>
      </c>
      <c r="B293" t="s">
        <v>18</v>
      </c>
      <c r="C293" t="s">
        <v>12</v>
      </c>
      <c r="D293" t="s">
        <v>13</v>
      </c>
      <c r="E293" t="s">
        <v>14</v>
      </c>
      <c r="F293" t="s">
        <v>45</v>
      </c>
      <c r="G293" s="3">
        <v>4566</v>
      </c>
      <c r="H293" s="4">
        <v>45933</v>
      </c>
      <c r="I293">
        <v>292</v>
      </c>
      <c r="J293" t="s">
        <v>354</v>
      </c>
      <c r="R293" s="4"/>
    </row>
    <row r="294" spans="1:18">
      <c r="A294" t="s">
        <v>340</v>
      </c>
      <c r="B294" t="s">
        <v>23</v>
      </c>
      <c r="C294" t="s">
        <v>24</v>
      </c>
      <c r="D294" t="s">
        <v>25</v>
      </c>
      <c r="E294" t="s">
        <v>14</v>
      </c>
      <c r="F294" t="s">
        <v>55</v>
      </c>
      <c r="G294" s="3">
        <v>4896</v>
      </c>
      <c r="H294" s="4">
        <v>45934</v>
      </c>
      <c r="I294">
        <v>293</v>
      </c>
      <c r="J294" t="s">
        <v>354</v>
      </c>
      <c r="R294" s="4"/>
    </row>
    <row r="295" spans="1:18">
      <c r="A295" t="s">
        <v>341</v>
      </c>
      <c r="B295" t="s">
        <v>28</v>
      </c>
      <c r="C295" t="s">
        <v>26</v>
      </c>
      <c r="D295" t="s">
        <v>27</v>
      </c>
      <c r="E295" t="s">
        <v>11</v>
      </c>
      <c r="F295" t="s">
        <v>45</v>
      </c>
      <c r="G295" s="3">
        <v>3919</v>
      </c>
      <c r="H295" s="4">
        <v>45935</v>
      </c>
      <c r="I295">
        <v>294</v>
      </c>
      <c r="J295" t="s">
        <v>354</v>
      </c>
      <c r="R295" s="4"/>
    </row>
    <row r="296" spans="1:18">
      <c r="A296" t="s">
        <v>342</v>
      </c>
      <c r="B296" t="s">
        <v>8</v>
      </c>
      <c r="C296" t="s">
        <v>29</v>
      </c>
      <c r="D296" t="s">
        <v>30</v>
      </c>
      <c r="E296" t="s">
        <v>11</v>
      </c>
      <c r="F296" t="s">
        <v>48</v>
      </c>
      <c r="G296" s="3">
        <v>589</v>
      </c>
      <c r="H296" s="4">
        <v>45936</v>
      </c>
      <c r="I296">
        <v>295</v>
      </c>
      <c r="J296" t="s">
        <v>354</v>
      </c>
      <c r="R296" s="4"/>
    </row>
    <row r="297" spans="1:18">
      <c r="A297" t="s">
        <v>343</v>
      </c>
      <c r="B297" t="s">
        <v>8</v>
      </c>
      <c r="C297" t="s">
        <v>31</v>
      </c>
      <c r="D297" t="s">
        <v>32</v>
      </c>
      <c r="E297" t="s">
        <v>14</v>
      </c>
      <c r="F297" t="s">
        <v>43</v>
      </c>
      <c r="G297" s="3">
        <v>757</v>
      </c>
      <c r="H297" s="4">
        <v>45937</v>
      </c>
      <c r="I297">
        <v>296</v>
      </c>
      <c r="J297" t="s">
        <v>354</v>
      </c>
      <c r="R297" s="4"/>
    </row>
    <row r="298" spans="1:18">
      <c r="A298" t="s">
        <v>344</v>
      </c>
      <c r="B298" t="s">
        <v>15</v>
      </c>
      <c r="C298" t="s">
        <v>33</v>
      </c>
      <c r="D298" t="s">
        <v>34</v>
      </c>
      <c r="E298" t="s">
        <v>14</v>
      </c>
      <c r="F298" t="s">
        <v>50</v>
      </c>
      <c r="G298" s="3">
        <v>4798</v>
      </c>
      <c r="H298" s="4">
        <v>45938</v>
      </c>
      <c r="I298">
        <v>297</v>
      </c>
      <c r="J298" t="s">
        <v>354</v>
      </c>
      <c r="R298" s="4"/>
    </row>
    <row r="299" spans="1:18">
      <c r="A299" t="s">
        <v>345</v>
      </c>
      <c r="B299" t="s">
        <v>15</v>
      </c>
      <c r="C299" t="s">
        <v>16</v>
      </c>
      <c r="D299" t="s">
        <v>17</v>
      </c>
      <c r="E299" t="s">
        <v>14</v>
      </c>
      <c r="F299" t="s">
        <v>48</v>
      </c>
      <c r="G299" s="3">
        <v>1468</v>
      </c>
      <c r="H299" s="4">
        <v>45939</v>
      </c>
      <c r="I299">
        <v>298</v>
      </c>
      <c r="J299" t="s">
        <v>354</v>
      </c>
      <c r="R299" s="4"/>
    </row>
    <row r="300" spans="1:18">
      <c r="A300" t="s">
        <v>346</v>
      </c>
      <c r="B300" t="s">
        <v>18</v>
      </c>
      <c r="C300" t="s">
        <v>19</v>
      </c>
      <c r="D300" t="s">
        <v>20</v>
      </c>
      <c r="E300" t="s">
        <v>14</v>
      </c>
      <c r="F300" t="s">
        <v>50</v>
      </c>
      <c r="G300" s="3">
        <v>1266</v>
      </c>
      <c r="H300" s="4">
        <v>45940</v>
      </c>
      <c r="I300">
        <v>299</v>
      </c>
      <c r="J300" t="s">
        <v>354</v>
      </c>
      <c r="R300" s="4"/>
    </row>
    <row r="301" spans="1:18">
      <c r="A301" t="s">
        <v>347</v>
      </c>
      <c r="B301" t="s">
        <v>18</v>
      </c>
      <c r="C301" t="s">
        <v>21</v>
      </c>
      <c r="D301" t="s">
        <v>22</v>
      </c>
      <c r="E301" t="s">
        <v>14</v>
      </c>
      <c r="F301" t="s">
        <v>52</v>
      </c>
      <c r="G301" s="3">
        <v>3491</v>
      </c>
      <c r="H301" s="4">
        <v>45941</v>
      </c>
      <c r="I301">
        <v>300</v>
      </c>
      <c r="J301" t="s">
        <v>354</v>
      </c>
      <c r="R301" s="4"/>
    </row>
    <row r="302" spans="1:18">
      <c r="A302" t="s">
        <v>348</v>
      </c>
      <c r="B302" t="s">
        <v>8</v>
      </c>
      <c r="C302" t="s">
        <v>9</v>
      </c>
      <c r="D302" t="s">
        <v>10</v>
      </c>
      <c r="E302" t="s">
        <v>11</v>
      </c>
      <c r="F302" t="s">
        <v>55</v>
      </c>
      <c r="G302" s="3">
        <v>1120</v>
      </c>
      <c r="H302" s="4">
        <v>45942</v>
      </c>
      <c r="I302">
        <v>301</v>
      </c>
      <c r="J302" t="s">
        <v>354</v>
      </c>
      <c r="R302" s="4"/>
    </row>
    <row r="303" spans="1:18">
      <c r="A303" t="s">
        <v>349</v>
      </c>
      <c r="B303" t="s">
        <v>23</v>
      </c>
      <c r="C303" t="s">
        <v>12</v>
      </c>
      <c r="D303" t="s">
        <v>13</v>
      </c>
      <c r="E303" t="s">
        <v>14</v>
      </c>
      <c r="F303" t="s">
        <v>45</v>
      </c>
      <c r="G303" s="3">
        <v>4464</v>
      </c>
      <c r="H303" s="4">
        <v>45943</v>
      </c>
      <c r="I303">
        <v>302</v>
      </c>
      <c r="J303" t="s">
        <v>354</v>
      </c>
      <c r="R303" s="4"/>
    </row>
    <row r="304" spans="1:18">
      <c r="A304" t="s">
        <v>350</v>
      </c>
      <c r="B304" t="s">
        <v>37</v>
      </c>
      <c r="C304" t="s">
        <v>9</v>
      </c>
      <c r="D304" t="s">
        <v>362</v>
      </c>
      <c r="E304" t="s">
        <v>362</v>
      </c>
      <c r="F304" t="s">
        <v>48</v>
      </c>
      <c r="G304" s="3">
        <v>669</v>
      </c>
      <c r="H304" s="4">
        <v>45944</v>
      </c>
      <c r="I304">
        <v>303</v>
      </c>
      <c r="J304" t="s">
        <v>376</v>
      </c>
      <c r="R304" s="4"/>
    </row>
    <row r="305" spans="1:18">
      <c r="A305" t="s">
        <v>351</v>
      </c>
      <c r="B305" t="s">
        <v>18</v>
      </c>
      <c r="C305" t="s">
        <v>21</v>
      </c>
      <c r="D305" t="s">
        <v>22</v>
      </c>
      <c r="E305" t="s">
        <v>14</v>
      </c>
      <c r="F305" t="s">
        <v>45</v>
      </c>
      <c r="G305" s="3">
        <v>4005</v>
      </c>
      <c r="H305" s="4">
        <v>45955</v>
      </c>
      <c r="I305">
        <v>304</v>
      </c>
      <c r="J305" t="s">
        <v>354</v>
      </c>
      <c r="R305" s="4"/>
    </row>
    <row r="306" spans="1:18">
      <c r="R306" s="4"/>
    </row>
    <row r="307" spans="1:18">
      <c r="R307" s="4"/>
    </row>
    <row r="308" spans="1:18">
      <c r="R308" s="4"/>
    </row>
    <row r="309" spans="1:18">
      <c r="R309" s="4"/>
    </row>
    <row r="310" spans="1:18">
      <c r="R310" s="4"/>
    </row>
    <row r="311" spans="1:18">
      <c r="R311" s="4"/>
    </row>
    <row r="312" spans="1:18">
      <c r="R312" s="4"/>
    </row>
    <row r="313" spans="1:18">
      <c r="R313" s="4"/>
    </row>
    <row r="314" spans="1:18">
      <c r="R314" s="4"/>
    </row>
    <row r="315" spans="1:18">
      <c r="R315" s="4"/>
    </row>
    <row r="316" spans="1:18">
      <c r="R316" s="4"/>
    </row>
    <row r="317" spans="1:18">
      <c r="R317" s="4"/>
    </row>
    <row r="318" spans="1:18">
      <c r="R318" s="4"/>
    </row>
    <row r="319" spans="1:18">
      <c r="R319" s="4"/>
    </row>
    <row r="320" spans="1:18">
      <c r="R320" s="4"/>
    </row>
    <row r="321" spans="18:18">
      <c r="R321" s="4"/>
    </row>
    <row r="322" spans="18:18">
      <c r="R322" s="4"/>
    </row>
    <row r="323" spans="18:18">
      <c r="R323" s="4"/>
    </row>
    <row r="324" spans="18:18">
      <c r="R324" s="4"/>
    </row>
    <row r="325" spans="18:18">
      <c r="R325" s="4"/>
    </row>
    <row r="326" spans="18:18">
      <c r="R326" s="4"/>
    </row>
    <row r="327" spans="18:18">
      <c r="R327" s="4"/>
    </row>
    <row r="328" spans="18:18">
      <c r="R328" s="4"/>
    </row>
    <row r="329" spans="18:18">
      <c r="R329" s="4"/>
    </row>
    <row r="330" spans="18:18">
      <c r="R330" s="4"/>
    </row>
    <row r="331" spans="18:18">
      <c r="R331" s="4"/>
    </row>
    <row r="332" spans="18:18">
      <c r="R332" s="4"/>
    </row>
    <row r="333" spans="18:18">
      <c r="R333" s="4"/>
    </row>
    <row r="334" spans="18:18">
      <c r="R334" s="4"/>
    </row>
    <row r="335" spans="18:18">
      <c r="R335" s="4"/>
    </row>
    <row r="336" spans="18:18">
      <c r="R336" s="4"/>
    </row>
    <row r="337" spans="18:18">
      <c r="R337" s="4"/>
    </row>
    <row r="338" spans="18:18">
      <c r="R338" s="4"/>
    </row>
    <row r="339" spans="18:18">
      <c r="R339" s="4"/>
    </row>
    <row r="340" spans="18:18">
      <c r="R340" s="4"/>
    </row>
    <row r="341" spans="18:18">
      <c r="R341" s="4"/>
    </row>
    <row r="342" spans="18:18">
      <c r="R342" s="4"/>
    </row>
    <row r="343" spans="18:18">
      <c r="R343" s="4"/>
    </row>
    <row r="344" spans="18:18">
      <c r="R344" s="4"/>
    </row>
    <row r="345" spans="18:18">
      <c r="R345" s="4"/>
    </row>
    <row r="346" spans="18:18">
      <c r="R346" s="4"/>
    </row>
    <row r="347" spans="18:18">
      <c r="R347" s="4"/>
    </row>
    <row r="348" spans="18:18">
      <c r="R348" s="4"/>
    </row>
    <row r="349" spans="18:18">
      <c r="R349" s="4"/>
    </row>
    <row r="350" spans="18:18">
      <c r="R350" s="4"/>
    </row>
    <row r="351" spans="18:18">
      <c r="R351" s="4"/>
    </row>
    <row r="352" spans="18:18">
      <c r="R352" s="4"/>
    </row>
    <row r="353" spans="18:18">
      <c r="R353" s="4"/>
    </row>
    <row r="354" spans="18:18">
      <c r="R354" s="4"/>
    </row>
    <row r="355" spans="18:18">
      <c r="R355" s="4"/>
    </row>
    <row r="356" spans="18:18">
      <c r="R356" s="4"/>
    </row>
    <row r="357" spans="18:18">
      <c r="R357" s="4"/>
    </row>
    <row r="358" spans="18:18">
      <c r="R358" s="4"/>
    </row>
    <row r="359" spans="18:18">
      <c r="R359" s="4"/>
    </row>
    <row r="360" spans="18:18">
      <c r="R360" s="4"/>
    </row>
    <row r="361" spans="18:18">
      <c r="R361" s="4"/>
    </row>
    <row r="362" spans="18:18">
      <c r="R362" s="4"/>
    </row>
    <row r="363" spans="18:18">
      <c r="R363" s="4"/>
    </row>
    <row r="364" spans="18:18">
      <c r="R364" s="4"/>
    </row>
    <row r="365" spans="18:18">
      <c r="R365" s="4"/>
    </row>
    <row r="366" spans="18:18">
      <c r="R366" s="4"/>
    </row>
    <row r="367" spans="18:18">
      <c r="R367" s="4"/>
    </row>
    <row r="368" spans="18:18">
      <c r="R368" s="4"/>
    </row>
    <row r="369" spans="18:18">
      <c r="R369" s="4"/>
    </row>
    <row r="370" spans="18:18">
      <c r="R370" s="4"/>
    </row>
    <row r="371" spans="18:18">
      <c r="R371" s="4"/>
    </row>
    <row r="372" spans="18:18">
      <c r="R372" s="4"/>
    </row>
    <row r="373" spans="18:18">
      <c r="R373" s="4"/>
    </row>
    <row r="374" spans="18:18">
      <c r="R374" s="4"/>
    </row>
    <row r="375" spans="18:18">
      <c r="R375" s="4"/>
    </row>
    <row r="376" spans="18:18">
      <c r="R376" s="4"/>
    </row>
    <row r="377" spans="18:18">
      <c r="R377" s="4"/>
    </row>
    <row r="378" spans="18:18">
      <c r="R378" s="4"/>
    </row>
    <row r="379" spans="18:18">
      <c r="R379" s="4"/>
    </row>
    <row r="380" spans="18:18">
      <c r="R380" s="4"/>
    </row>
    <row r="381" spans="18:18">
      <c r="R381" s="4"/>
    </row>
    <row r="382" spans="18:18">
      <c r="R382" s="4"/>
    </row>
    <row r="383" spans="18:18">
      <c r="R383" s="4"/>
    </row>
    <row r="384" spans="18:18">
      <c r="R384" s="4"/>
    </row>
    <row r="385" spans="18:18">
      <c r="R385" s="4"/>
    </row>
    <row r="386" spans="18:18">
      <c r="R386" s="4"/>
    </row>
    <row r="387" spans="18:18">
      <c r="R387" s="4"/>
    </row>
    <row r="388" spans="18:18">
      <c r="R388" s="4"/>
    </row>
    <row r="389" spans="18:18">
      <c r="R389" s="4"/>
    </row>
    <row r="390" spans="18:18">
      <c r="R390" s="4"/>
    </row>
    <row r="391" spans="18:18">
      <c r="R391" s="4"/>
    </row>
    <row r="392" spans="18:18">
      <c r="R392" s="4"/>
    </row>
    <row r="393" spans="18:18">
      <c r="R393" s="4"/>
    </row>
    <row r="394" spans="18:18">
      <c r="R394" s="4"/>
    </row>
    <row r="395" spans="18:18">
      <c r="R395" s="4"/>
    </row>
    <row r="396" spans="18:18">
      <c r="R396" s="4"/>
    </row>
    <row r="397" spans="18:18">
      <c r="R397" s="4"/>
    </row>
    <row r="398" spans="18:18">
      <c r="R398" s="4"/>
    </row>
    <row r="399" spans="18:18">
      <c r="R399" s="4"/>
    </row>
    <row r="400" spans="18:18">
      <c r="R400" s="4"/>
    </row>
    <row r="401" spans="18:18">
      <c r="R401" s="4"/>
    </row>
    <row r="402" spans="18:18">
      <c r="R402" s="4"/>
    </row>
    <row r="403" spans="18:18">
      <c r="R403" s="4"/>
    </row>
    <row r="404" spans="18:18">
      <c r="R404" s="4"/>
    </row>
    <row r="405" spans="18:18">
      <c r="R405" s="4"/>
    </row>
    <row r="406" spans="18:18">
      <c r="R406" s="4"/>
    </row>
    <row r="407" spans="18:18">
      <c r="R407" s="4"/>
    </row>
    <row r="408" spans="18:18">
      <c r="R408" s="4"/>
    </row>
    <row r="409" spans="18:18">
      <c r="R409" s="4"/>
    </row>
    <row r="410" spans="18:18">
      <c r="R410" s="4"/>
    </row>
    <row r="411" spans="18:18">
      <c r="R411" s="4"/>
    </row>
    <row r="412" spans="18:18">
      <c r="R412" s="4"/>
    </row>
    <row r="413" spans="18:18">
      <c r="R413" s="4"/>
    </row>
    <row r="414" spans="18:18">
      <c r="R414" s="4"/>
    </row>
    <row r="415" spans="18:18">
      <c r="R415" s="4"/>
    </row>
    <row r="416" spans="18:18">
      <c r="R416" s="4"/>
    </row>
    <row r="417" spans="18:18">
      <c r="R417" s="4"/>
    </row>
    <row r="418" spans="18:18">
      <c r="R418" s="4"/>
    </row>
    <row r="419" spans="18:18">
      <c r="R419" s="4"/>
    </row>
    <row r="420" spans="18:18">
      <c r="R420" s="4"/>
    </row>
    <row r="421" spans="18:18">
      <c r="R421" s="4"/>
    </row>
    <row r="422" spans="18:18">
      <c r="R422" s="4"/>
    </row>
    <row r="423" spans="18:18">
      <c r="R423" s="4"/>
    </row>
    <row r="424" spans="18:18">
      <c r="R424" s="4"/>
    </row>
    <row r="425" spans="18:18">
      <c r="R425" s="4"/>
    </row>
    <row r="426" spans="18:18">
      <c r="R426" s="4"/>
    </row>
    <row r="427" spans="18:18">
      <c r="R427" s="4"/>
    </row>
    <row r="428" spans="18:18">
      <c r="R428" s="4"/>
    </row>
    <row r="429" spans="18:18">
      <c r="R429" s="4"/>
    </row>
    <row r="430" spans="18:18">
      <c r="R430" s="4"/>
    </row>
    <row r="431" spans="18:18">
      <c r="R431" s="4"/>
    </row>
    <row r="432" spans="18:18">
      <c r="R432" s="4"/>
    </row>
    <row r="433" spans="18:18">
      <c r="R433" s="4"/>
    </row>
    <row r="434" spans="18:18">
      <c r="R434" s="4"/>
    </row>
    <row r="435" spans="18:18">
      <c r="R435" s="4"/>
    </row>
    <row r="436" spans="18:18">
      <c r="R436" s="4"/>
    </row>
    <row r="437" spans="18:18">
      <c r="R437" s="4"/>
    </row>
    <row r="438" spans="18:18">
      <c r="R438" s="4"/>
    </row>
    <row r="439" spans="18:18">
      <c r="R439" s="4"/>
    </row>
    <row r="440" spans="18:18">
      <c r="R440" s="4"/>
    </row>
    <row r="441" spans="18:18">
      <c r="R441" s="4"/>
    </row>
    <row r="442" spans="18:18">
      <c r="R442" s="4"/>
    </row>
    <row r="443" spans="18:18">
      <c r="R443" s="4"/>
    </row>
    <row r="444" spans="18:18">
      <c r="R444" s="4"/>
    </row>
    <row r="445" spans="18:18">
      <c r="R445" s="4"/>
    </row>
    <row r="446" spans="18:18">
      <c r="R446" s="4"/>
    </row>
    <row r="447" spans="18:18">
      <c r="R447" s="4"/>
    </row>
    <row r="448" spans="18:18">
      <c r="R448" s="4"/>
    </row>
    <row r="449" spans="18:18">
      <c r="R449" s="4"/>
    </row>
    <row r="450" spans="18:18">
      <c r="R450" s="4"/>
    </row>
    <row r="451" spans="18:18">
      <c r="R451" s="4"/>
    </row>
    <row r="452" spans="18:18">
      <c r="R452" s="4"/>
    </row>
    <row r="453" spans="18:18">
      <c r="R453" s="4"/>
    </row>
    <row r="454" spans="18:18">
      <c r="R454" s="4"/>
    </row>
    <row r="455" spans="18:18">
      <c r="R455" s="4"/>
    </row>
    <row r="456" spans="18:18">
      <c r="R456" s="4"/>
    </row>
    <row r="457" spans="18:18">
      <c r="R457" s="4"/>
    </row>
    <row r="458" spans="18:18">
      <c r="R458" s="4"/>
    </row>
    <row r="459" spans="18:18">
      <c r="R459" s="4"/>
    </row>
    <row r="460" spans="18:18">
      <c r="R460" s="4"/>
    </row>
    <row r="461" spans="18:18">
      <c r="R461" s="4"/>
    </row>
    <row r="462" spans="18:18">
      <c r="R462" s="4"/>
    </row>
    <row r="463" spans="18:18">
      <c r="R463" s="4"/>
    </row>
    <row r="464" spans="18:18">
      <c r="R464" s="4"/>
    </row>
    <row r="465" spans="18:18">
      <c r="R465" s="4"/>
    </row>
    <row r="466" spans="18:18">
      <c r="R466" s="4"/>
    </row>
    <row r="467" spans="18:18">
      <c r="R467" s="4"/>
    </row>
    <row r="468" spans="18:18">
      <c r="R468" s="4"/>
    </row>
    <row r="469" spans="18:18">
      <c r="R469" s="4"/>
    </row>
    <row r="470" spans="18:18">
      <c r="R470" s="4"/>
    </row>
    <row r="471" spans="18:18">
      <c r="R471" s="4"/>
    </row>
    <row r="472" spans="18:18">
      <c r="R472" s="4"/>
    </row>
    <row r="473" spans="18:18">
      <c r="R473" s="4"/>
    </row>
    <row r="474" spans="18:18">
      <c r="R474" s="4"/>
    </row>
    <row r="475" spans="18:18">
      <c r="R475" s="4"/>
    </row>
    <row r="476" spans="18:18">
      <c r="R476" s="4"/>
    </row>
    <row r="477" spans="18:18">
      <c r="R477" s="4"/>
    </row>
    <row r="478" spans="18:18">
      <c r="R478" s="4"/>
    </row>
    <row r="479" spans="18:18">
      <c r="R479" s="4"/>
    </row>
    <row r="480" spans="18:18">
      <c r="R480" s="4"/>
    </row>
    <row r="481" spans="18:18">
      <c r="R481" s="4"/>
    </row>
    <row r="482" spans="18:18">
      <c r="R482" s="4"/>
    </row>
    <row r="483" spans="18:18">
      <c r="R483" s="4"/>
    </row>
    <row r="484" spans="18:18">
      <c r="R484" s="4"/>
    </row>
    <row r="485" spans="18:18">
      <c r="R485" s="4"/>
    </row>
    <row r="486" spans="18:18">
      <c r="R486" s="4"/>
    </row>
    <row r="487" spans="18:18">
      <c r="R487" s="4"/>
    </row>
    <row r="488" spans="18:18">
      <c r="R488" s="4"/>
    </row>
    <row r="489" spans="18:18">
      <c r="R489" s="4"/>
    </row>
    <row r="490" spans="18:18">
      <c r="R490" s="4"/>
    </row>
    <row r="491" spans="18:18">
      <c r="R491" s="4"/>
    </row>
    <row r="492" spans="18:18">
      <c r="R492" s="4"/>
    </row>
    <row r="493" spans="18:18">
      <c r="R493" s="4"/>
    </row>
    <row r="494" spans="18:18">
      <c r="R494" s="4"/>
    </row>
    <row r="495" spans="18:18">
      <c r="R495" s="4"/>
    </row>
    <row r="496" spans="18:18">
      <c r="R496" s="4"/>
    </row>
    <row r="497" spans="18:18">
      <c r="R497" s="4"/>
    </row>
    <row r="498" spans="18:18">
      <c r="R498" s="4"/>
    </row>
    <row r="499" spans="18:18">
      <c r="R499" s="4"/>
    </row>
    <row r="500" spans="18:18">
      <c r="R500" s="4"/>
    </row>
    <row r="501" spans="18:18">
      <c r="R501" s="4"/>
    </row>
    <row r="502" spans="18:18">
      <c r="R502" s="4"/>
    </row>
    <row r="503" spans="18:18">
      <c r="R503" s="4"/>
    </row>
    <row r="504" spans="18:18">
      <c r="R504" s="4"/>
    </row>
    <row r="505" spans="18:18">
      <c r="R505" s="4"/>
    </row>
    <row r="506" spans="18:18">
      <c r="R506" s="4"/>
    </row>
    <row r="507" spans="18:18">
      <c r="R507" s="4"/>
    </row>
    <row r="508" spans="18:18">
      <c r="R508" s="4"/>
    </row>
    <row r="509" spans="18:18">
      <c r="R509" s="4"/>
    </row>
    <row r="510" spans="18:18">
      <c r="R510" s="4"/>
    </row>
    <row r="511" spans="18:18">
      <c r="R511" s="4"/>
    </row>
    <row r="512" spans="18:18">
      <c r="R512" s="4"/>
    </row>
    <row r="513" spans="18:18">
      <c r="R513" s="4"/>
    </row>
    <row r="514" spans="18:18">
      <c r="R514" s="4"/>
    </row>
    <row r="515" spans="18:18">
      <c r="R515" s="4"/>
    </row>
    <row r="516" spans="18:18">
      <c r="R516" s="4"/>
    </row>
    <row r="517" spans="18:18">
      <c r="R517" s="4"/>
    </row>
    <row r="518" spans="18:18">
      <c r="R518" s="4"/>
    </row>
    <row r="519" spans="18:18">
      <c r="R519" s="4"/>
    </row>
    <row r="520" spans="18:18">
      <c r="R520" s="4"/>
    </row>
    <row r="521" spans="18:18">
      <c r="R521" s="4"/>
    </row>
    <row r="522" spans="18:18">
      <c r="R522" s="4"/>
    </row>
    <row r="523" spans="18:18">
      <c r="R523" s="4"/>
    </row>
    <row r="524" spans="18:18">
      <c r="R524" s="4"/>
    </row>
    <row r="525" spans="18:18">
      <c r="R525" s="4"/>
    </row>
    <row r="526" spans="18:18">
      <c r="R526" s="4"/>
    </row>
    <row r="527" spans="18:18">
      <c r="R527" s="4"/>
    </row>
    <row r="528" spans="18:18">
      <c r="R528" s="4"/>
    </row>
    <row r="529" spans="18:18">
      <c r="R529" s="4"/>
    </row>
    <row r="530" spans="18:18">
      <c r="R530" s="4"/>
    </row>
    <row r="531" spans="18:18">
      <c r="R531" s="4"/>
    </row>
    <row r="532" spans="18:18">
      <c r="R532" s="4"/>
    </row>
    <row r="533" spans="18:18">
      <c r="R533" s="4"/>
    </row>
    <row r="534" spans="18:18">
      <c r="R534" s="4"/>
    </row>
    <row r="535" spans="18:18">
      <c r="R535" s="4"/>
    </row>
    <row r="536" spans="18:18">
      <c r="R536" s="4"/>
    </row>
    <row r="537" spans="18:18">
      <c r="R537" s="4"/>
    </row>
    <row r="538" spans="18:18">
      <c r="R538" s="4"/>
    </row>
    <row r="539" spans="18:18">
      <c r="R539" s="4"/>
    </row>
    <row r="540" spans="18:18">
      <c r="R540" s="4"/>
    </row>
    <row r="541" spans="18:18">
      <c r="R541" s="4"/>
    </row>
    <row r="542" spans="18:18">
      <c r="R542" s="4"/>
    </row>
    <row r="543" spans="18:18">
      <c r="R543" s="4"/>
    </row>
    <row r="544" spans="18:18">
      <c r="R544" s="4"/>
    </row>
    <row r="545" spans="18:18">
      <c r="R545" s="4"/>
    </row>
    <row r="546" spans="18:18">
      <c r="R546" s="4"/>
    </row>
    <row r="547" spans="18:18">
      <c r="R547" s="4"/>
    </row>
    <row r="548" spans="18:18">
      <c r="R548" s="4"/>
    </row>
    <row r="549" spans="18:18">
      <c r="R549" s="4"/>
    </row>
    <row r="550" spans="18:18">
      <c r="R550" s="4"/>
    </row>
    <row r="551" spans="18:18">
      <c r="R551" s="4"/>
    </row>
    <row r="552" spans="18:18">
      <c r="R552" s="4"/>
    </row>
    <row r="553" spans="18:18">
      <c r="R553" s="4"/>
    </row>
    <row r="554" spans="18:18">
      <c r="R554" s="4"/>
    </row>
    <row r="555" spans="18:18">
      <c r="R555" s="4"/>
    </row>
    <row r="556" spans="18:18">
      <c r="R556" s="4"/>
    </row>
    <row r="557" spans="18:18">
      <c r="R557" s="4"/>
    </row>
    <row r="558" spans="18:18">
      <c r="R558" s="4"/>
    </row>
    <row r="559" spans="18:18">
      <c r="R559" s="4"/>
    </row>
    <row r="560" spans="18:18">
      <c r="R560" s="4"/>
    </row>
    <row r="561" spans="18:18">
      <c r="R561" s="4"/>
    </row>
    <row r="562" spans="18:18">
      <c r="R562" s="4"/>
    </row>
    <row r="563" spans="18:18">
      <c r="R563" s="4"/>
    </row>
    <row r="564" spans="18:18">
      <c r="R564" s="4"/>
    </row>
    <row r="565" spans="18:18">
      <c r="R565" s="4"/>
    </row>
    <row r="566" spans="18:18">
      <c r="R566" s="4"/>
    </row>
    <row r="567" spans="18:18">
      <c r="R567" s="4"/>
    </row>
    <row r="568" spans="18:18">
      <c r="R568" s="4"/>
    </row>
    <row r="569" spans="18:18">
      <c r="R569" s="4"/>
    </row>
    <row r="570" spans="18:18">
      <c r="R570" s="4"/>
    </row>
    <row r="571" spans="18:18">
      <c r="R571" s="4"/>
    </row>
    <row r="572" spans="18:18">
      <c r="R572" s="4"/>
    </row>
    <row r="573" spans="18:18">
      <c r="R573" s="4"/>
    </row>
    <row r="574" spans="18:18">
      <c r="R574" s="4"/>
    </row>
    <row r="575" spans="18:18">
      <c r="R575" s="4"/>
    </row>
    <row r="576" spans="18:18">
      <c r="R576" s="4"/>
    </row>
    <row r="577" spans="18:18">
      <c r="R577" s="4"/>
    </row>
    <row r="578" spans="18:18">
      <c r="R578" s="4"/>
    </row>
  </sheetData>
  <conditionalFormatting sqref="A1:J305">
    <cfRule type="expression" dxfId="8" priority="1">
      <formula>$J1="异常"</formula>
    </cfRule>
  </conditionalFormatting>
  <dataValidations count="1">
    <dataValidation type="list" allowBlank="1" showInputMessage="1" showErrorMessage="1" sqref="N42:N43">
      <formula1>地区</formula1>
    </dataValidation>
  </dataValidations>
  <pageMargins left="0.7" right="0.7" top="0.75" bottom="0.75" header="0.3" footer="0.3"/>
  <pageSetup paperSize="9" orientation="portrait"/>
  <headerFooter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zoomScale="70" zoomScaleNormal="70" topLeftCell="A4" workbookViewId="0">
      <selection activeCell="AG20" sqref="AG20"/>
    </sheetView>
  </sheetViews>
  <sheetFormatPr defaultColWidth="9" defaultRowHeight="14"/>
  <cols>
    <col min="1" max="16384" width="9" style="1"/>
  </cols>
  <sheetData/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D57"/>
  <sheetViews>
    <sheetView showGridLines="0" zoomScale="68" zoomScaleNormal="68" workbookViewId="0">
      <selection activeCell="AG12" sqref="AG12"/>
    </sheetView>
  </sheetViews>
  <sheetFormatPr defaultColWidth="9" defaultRowHeight="14"/>
  <cols>
    <col min="1" max="1" width="9" style="1"/>
    <col min="2" max="2" width="6.87272727272727" style="1" customWidth="1"/>
    <col min="3" max="16384" width="9" style="1"/>
  </cols>
  <sheetData>
    <row r="1" spans="2:30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2:30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2:30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2:30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2:30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2:30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2:30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2:30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2:30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2:30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2:30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2:30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2:30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2:30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2:30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2:30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2:30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2:30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2:30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2:30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2:30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2:30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2:30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2:30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2:30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2:30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2:30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2:30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2:30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2:30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2:30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2:30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2:30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2:30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2:30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2:30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2:30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2:30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2:30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2:30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2:30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2:30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2:30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2:30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2:30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2:30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2:30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2:30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2:30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2:30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2:30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2:30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2:30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2:30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2:30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2:30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2:30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</sheetData>
  <pageMargins left="0.7" right="0.7" top="0.75" bottom="0.75" header="0.3" footer="0.3"/>
  <pageSetup paperSize="9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EAI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DbKgLV4gQAAJUPAAATAAAARm9ybXVsYXMvU2VjdGlvbjEubcVXbU/bVhT+jsR/sNwvjuRFIkPVtIoPFVCNresmYNsHgio3viwWjo3smy0sQgrTqkDXFLqVshXYIOvENg1Gt4qXhGn/peI65F/sXF/7+iVOAGnVokjJ9T33nuc859U2ymHNNIQJ9jtwo7+vv8/OKxZShYk8QnhAGBJ0hPv7BPg4jVVYjpZySE9/Ylqz90xzVrql6Sg9bBoYGdiWxJG3sx/ZyLKzbw0OXs9kR5A9i825rPP0gDQbztPqWfOQPD/Jkv26s3R01tgl3y6eHTfPd35Jl3S7JKZkwSjquixgq4hSMtPLkNx1fwAAwChPjWFUGBLZjii/pxmqtxKnF6ZGFKxMe4edlVVSq7aefeVsV9v17+D8pHIPIH9omQUTo3eQogJcKaxDFqa83Zu6PpFTdMWyhyigaR+Rs/HSeXICl7ZeNMkPX/NLJy3FsGdMqzBs6sWCMTk/h2wphkAul8Xz/TqprZGVIxEsBSEBoxJekIWyyCgZG+nYYIwlbWwekIeNDnmmol193K5vweaYga8PpikgVw3bddZ/djZ/9I+qCkYLC6n+Ps3w/B21Mhwc1zzqBSmTEsH81x0j5P5f54tPXmeYRG3t7dFIsIA7mbcHfCK5M9nzTJfnb3Z5Phh5fkmHkNUlcnKYkK4s2u8gGyP1XVMzvEiPxZrIwwvCI+JcKhjY5/3NiCAWDgFZoHfTNEzfRjP4gyJGlp8s5OhP56hJHmy3XtbJ6Rqn9qaqjhkqKrHbJUhruJPJAAMD7jcIW/+2ayJ5sUZOK5B8ryqbzBM0Cl9VtgZoJDJ7R0tziqG6/73rYyji8H0jqVM8IwepkeWQlVDmaFa7IoFi7ylI+xDb1Rp5/DdZrQFGsrTOQY0jQykgdokt9TSEFokOFa5i5ih6+e5BF4A0gDyHtvaWW41dEdLaK4dAA1nabn//nBavXxvnOw85vAmkQxsYNz+3pZgFsoCUXF4wTCzc1mycHrNHC3N4XnIX46hgfobeV3Aurxmf0rpsS+MoZ1pq+paGdPVjRS9CFbwLpb0sAjJa3xdSKQ7IR0OW/3A2f+doRkCRZuSw1InYPwoonUffkMZKB8+gHFk+0dxepkGOlt9wxQ2ygBPoEc3XHqF07dddr5rzUuuteXH1YzrwwaMmcwD0w7DJse7huiFsYLxzTELTSE9aWqFHE+kqwxNeFi6Q4RRcIMep6S7nU5Yowflxju9fjh8SJTKRn2EdKcZFBCUKxRnqIRSlqIdglKNkwQhJHSKcpZjxtPSz2tcRRomPvdkkSjWkqJ8dPJyD+YTW/C/ybwzfgTGtU+5KPu2BNm5XN1WXZibzXzAD7YibzDP7Amq43JWo6QE3Rk0moCaqqjs1Vxtco8GRpM5lwB0caXWPzZzDRctCRm4+GDt5zQyYo+dYpvHcSNrkGZa0mTAVd52jk0dvnlXOxj9OrU4bSuWUx804mtOVHHI7mRSjUHbfV0RnfVuUPTkrHT4A/SbSs+OthKvmE4qztUNfk0KTA4xK3hgTxgc3tR4cOpXF8+pvZP/Z2ckytFe3U2szwlRY6TSY4kIUcB4Z0LtOvyTHx6KAdBsJgTDzQE9h0dn7iR71e3CsuQZ5He7fbPzjZgWhwt6A/ocW3NrbaFeWwc1dBqC4WR6v4bfSmEiQttzysJKozeGhPn7PjX8BUEsDBBQAAAAIAIdO4kB/v9PKnQAAAOQAAAATAAAAW0NvbnRlbnRfVHlwZXNdLnhtbG2PSw7CMAxErxJ5n7qwQAg17aJwAy4QBfcjmo8aF4Xbk9AdYunxPM+46ZJdxIvWOHun4FDVIMgZ/5jdqGDjQZ6ha5v7O1AU2eqigok5XBCjmcjqWPlALm8Gv1rNeVxHDNo89Uh4rOsTGu+YHEsuN6BtrjTobWFxS1neYzMOot99JUoBU2IsMv4F7I9dh7DMRnN+ApO0UdoC4rd2+wFQSwECFAAUAAAACACHTuJAf7/Typ0AAADkAAAAEwAAAAAAAAABACAAAAAuBgAAW0NvbnRlbnRfVHlwZXNdLnhtbFBLAQIUAAoAAAAAAIdO4kAAAAAAAAAAAAAAAAAHAAAAAAAAAAAAEAAAAAAAAABDb25maWcvUEsBAhQAFAAAAAgAh07iQBI4/pifAAAA8wAAABIAAAAAAAAAAQAgAAAAJQAAAENvbmZpZy9QYWNrYWdlLnhtbFBLAQIUAAoAAAAAAIdO4kAAAAAAAAAAAAAAAAAJAAAAAAAAAAAAEAAAAPQAAABGb3JtdWxhcy9QSwECFAAUAAAACACHTuJA2yoC1eIEAACVDwAAEwAAAAAAAAABACAAAAAbAQAARm9ybXVsYXMvU2VjdGlvbjEubVBLBQYAAAAABQAFAC4BAAD8BgAAAAAOAQAAPD94bWwgdmVyc2lvbj0iMS4wIiBlbmNvZGluZz0idXRmLTgiID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RAoAAAAAAAAiCgAAPD94bWwgdmVyc2lvbj0iMS4wIiBlbmNvZGluZz0idXRmLTgiID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1NoZWV0MTwvSXRlbVBhdGg+PC9JdGVtTG9jYXRpb24+PFN0YWJsZUVudHJpZXM+PEVudHJ5IFR5cGU9IklzUHJpdmF0ZSIgVmFsdWU9ImwwIiAvPjxFbnRyeSBUeXBlPSJGaWxsRW5hYmxlZCIgVmFsdWU9ImwwIiAvPjxFbnRyeSBUeXBlPSJGaWxsT2JqZWN0VHlwZSIgVmFsdWU9InNDb25uZWN0aW9uT25seSIgLz48RW50cnkgVHlwZT0iUXVlcnlJRCIgVmFsdWU9InM3Y2ZmNzM5ZS01ZWQ3LTQ1NjQtYTY3Zi1jMTExYjk3Mjk4NjUiIC8+PEVudHJ5IFR5cGU9IlJlc3VsdFR5cGUiIFZhbHVlPSJzVGFibGUiIC8+PEVudHJ5IFR5cGU9IkZpbGxDb3VudCIgVmFsdWU9ImwzMDMiIC8+PEVudHJ5IFR5cGU9IkZpbGxFcnJvckNvdW50IiBWYWx1ZT0ibDAiIC8+PEVudHJ5IFR5cGU9IkZpbGxMYXN0VXBkYXRlZCIgVmFsdWU9ImQyMDI2LTAzLTE4VDA4OjU1OjAwLjU5MzAwMDBaIiAvPjxFbnRyeSBUeXBlPSJGaWxsQ29sdW1uTmFtZXMiIFZhbHVlPSdzWyZxdW90O+iuouWNleWPtyZxdW90OywmcXVvdDvkuqflk4FJRCZxdW90OywmcXVvdDvlrqLmiLdJRCZxdW90OywmcXVvdDvlnLDljLomcXVvdDssJnF1b3Q76K6i5Y2V6YeR6aKdJnF1b3Q7LCZxdW90O+iuouWNleaXpeacnyZxdW90O10nIC8+PC9TdGFibGVFbnRyaWVzPjwvSXRlbT48SXRlbT48SXRlbUxvY2F0aW9uPjxJdGVtVHlwZT5Gb3JtdWxhPC9JdGVtVHlwZT48SXRlbVBhdGg+U2VjdGlvbjEvU2hlZXQxJTIwJTI4MiUyOTwvSXRlbVBhdGg+PC9JdGVtTG9jYXRpb24+PFN0YWJsZUVudHJpZXM+PEVudHJ5IFR5cGU9IklzUHJpdmF0ZSIgVmFsdWU9ImwwIiAvPjxFbnRyeSBUeXBlPSJGaWxsRW5hYmxlZCIgVmFsdWU9ImwwIiAvPjxFbnRyeSBUeXBlPSJGaWxsT2JqZWN0VHlwZSIgVmFsdWU9InNDb25uZWN0aW9uT25seSIgLz48RW50cnkgVHlwZT0iUXVlcnlJRCIgVmFsdWU9InM3ZTUxNGVhNi01NDJkLTQ2YzItODJkYy01ZTk1ZjI1ZWFjMmYiIC8+PEVudHJ5IFR5cGU9IlJlc3VsdFR5cGUiIFZhbHVlPSJzVGFibGUiIC8+PEVudHJ5IFR5cGU9IkZpbGxDb3VudCIgVmFsdWU9ImwzMDAiIC8+PEVudHJ5IFR5cGU9IkZpbGxFcnJvckNvdW50IiBWYWx1ZT0ibDAiIC8+PEVudHJ5IFR5cGU9IkZpbGxMYXN0VXBkYXRlZCIgVmFsdWU9ImQyMDI2LTAzLTE4VDA5OjAyOjA1LjQxMDAwMDBaIiAvPjxFbnRyeSBUeXBlPSJGaWxsQ29sdW1uTmFtZXMiIFZhbHVlPSdzWyZxdW90O0NvbHVtbjEmcXVvdDssJnF1b3Q7Q29sdW1uMiZxdW90OywmcXVvdDtDb2x1bW4zJnF1b3Q7LCZxdW90O0NvbHVtbjQmcXVvdDtdJyAvPjwvU3RhYmxlRW50cmllcz48L0l0ZW0+PEl0ZW0+PEl0ZW1Mb2NhdGlvbj48SXRlbVR5cGU+Rm9ybXVsYTwvSXRlbVR5cGU+PEl0ZW1QYXRoPlNlY3Rpb24xLyVFNSU5MCU4OCVFNSVCOSVCNjE8L0l0ZW1QYXRoPjwvSXRlbUxvY2F0aW9uPjxTdGFibGVFbnRyaWVzPjxFbnRyeSBUeXBlPSJJc1ByaXZhdGUiIFZhbHVlPSJsMCIgLz48RW50cnkgVHlwZT0iRmlsbEVuYWJsZWQiIFZhbHVlPSJsMSIgLz48RW50cnkgVHlwZT0iRmlsbE9iamVjdFR5cGUiIFZhbHVlPSJzVGFibGUiIC8+PEVudHJ5IFR5cGU9IlF1ZXJ5SUQiIFZhbHVlPSJzMDNiMjU3OWYtMTk1ZC00NGRhLWJhN2EtNWY4Y2Q0M2IzNWFjIiAvPjxFbnRyeSBUeXBlPSJSZXN1bHRUeXBlIiBWYWx1ZT0ic1RhYmxlIiAvPjxFbnRyeSBUeXBlPSJGaWxsVGFyZ2V0IiBWYWx1ZT0ic+WQiOW5tjEiIC8+PEVudHJ5IFR5cGU9IkZpbGxDb3VudCIgVmFsdWU9ImwzMDQiIC8+PEVudHJ5IFR5cGU9IkZpbGxFcnJvckNvdW50IiBWYWx1ZT0ibDAiIC8+PEVudHJ5IFR5cGU9IkZpbGxMYXN0VXBkYXRlZCIgVmFsdWU9ImQyMDI2LTAzLTE4VDA5OjI4OjM2LjYyNTAwMDBaIiAvPjxFbnRyeSBUeXBlPSJGaWxsQ29sdW1uTmFtZXMiIFZhbHVlPSdzWyZxdW90O+iuouWNleWPtyZxdW90OywmcXVvdDvkuqflk4FJRCZxdW90OywmcXVvdDvlrqLmiLdJRCZxdW90OywmcXVvdDvlrqLmiLflkI3np7AmcXVvdDssJnF1b3Q75a6i5oi3562J57qnJnF1b3Q7LCZxdW90O+WcsOWMuiZxdW90OywmcXVvdDvorqLljZXph5Hpop0mcXVvdDssJnF1b3Q76K6i5Y2V5pel5pyfJnF1b3Q7LCZxdW90O+e0ouW8lSZxdW90OywmcXVvdDvnirbmgIHoh6rlrprkuYkmcXVvdDtdJyAvPjwvU3RhYmxlRW50cmllcz48L0l0ZW0+PC9JdGVtcz48L0xvY2FsUGFja2FnZU1ldGFkYXRhRmlsZT4WAAAAUEsFBgAAAAAAAAAAAAAAAAAAAAAAACYBAAABAAAA0Iyd3wEV0RGMegDAT8KX6wEAAAD2U/Br7Z25Sre2iCcPCbvyAAAAAAIAAAAAABBmAAAAAQAAIAAAAAKZOZe1WeNdOCTJRvvLACdA0yQwIrKH2U3+Tw2+xqGCAAAAAA6AAAAAAgAAIAAAALMv8Dpo0z6mlWppL8zy33tcDR6Xf6tTukheTJ2Ygi7uUAAAAMU0HfArImnmWbK/p5/brZAF4YraXzVm/lXjJa74+uA0RnfpezqulLJCcim/Dk97e0U/Hi31tVarwzcgeyy0MO06D16/xPdH2V8oVGPugQO1QAAAAM5Gwx/awrHTY76BPC9HP56saOh1s5DSUlw33QnWMBLfPLiP3vM1lJkGAcLYnSToqB1r1Jr/LWQ6CCiWsAJjitc=</DataMashup>
</file>

<file path=customXml/itemProps1.xml><?xml version="1.0" encoding="utf-8"?>
<ds:datastoreItem xmlns:ds="http://schemas.openxmlformats.org/officeDocument/2006/customXml" ds:itemID="{0DB27398-F93D-4EA5-B23F-9D51EE8E27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 (3)</vt:lpstr>
      <vt:lpstr>Sheet1 (2)</vt:lpstr>
      <vt:lpstr>合并1</vt:lpstr>
      <vt:lpstr>数据报表 (2)</vt:lpstr>
      <vt:lpstr>数据报表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flycat</dc:creator>
  <cp:lastModifiedBy>喵咕弎弎</cp:lastModifiedBy>
  <dcterms:created xsi:type="dcterms:W3CDTF">2023-05-12T11:15:00Z</dcterms:created>
  <dcterms:modified xsi:type="dcterms:W3CDTF">2026-04-15T12:26:00Z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4903915BC6A14CD2A237FC753305E72B_13</vt:lpwstr>
  </property>
  <property fmtid="{D5CDD505-2E9C-101B-9397-08002B2CF9AE}" pid="4" name="CalculationRule">
    <vt:i4>0</vt:i4>
  </property>
</Properties>
</file>